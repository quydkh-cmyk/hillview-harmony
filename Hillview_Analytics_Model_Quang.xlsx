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Returns" sheetId="5" state="visible" r:id="rId5"/>
    <sheet xmlns:r="http://schemas.openxmlformats.org/officeDocument/2006/relationships" name="Sensitivity" sheetId="6" state="visible" r:id="rId6"/>
    <sheet xmlns:r="http://schemas.openxmlformats.org/officeDocument/2006/relationships" name="MonteCarlo" sheetId="7" state="visible" r:id="rId7"/>
    <sheet xmlns:r="http://schemas.openxmlformats.org/officeDocument/2006/relationships" name="ModelRisk" sheetId="8" state="visible" r:id="rId8"/>
    <sheet xmlns:r="http://schemas.openxmlformats.org/officeDocument/2006/relationships" name="Comparators" sheetId="9" state="visible" r:id="rId9"/>
    <sheet xmlns:r="http://schemas.openxmlformats.org/officeDocument/2006/relationships" name="Recommendations" sheetId="10" state="visible" r:id="rId10"/>
    <sheet xmlns:r="http://schemas.openxmlformats.org/officeDocument/2006/relationships" name="Chapter_Check" sheetId="11" state="visible" r:id="rId11"/>
    <sheet xmlns:r="http://schemas.openxmlformats.org/officeDocument/2006/relationships" name="References" sheetId="12" state="visible" r:id="rId12"/>
  </sheets>
  <definedNames/>
  <calcPr calcId="124519" fullCalcOnLoad="1"/>
</workbook>
</file>

<file path=xl/styles.xml><?xml version="1.0" encoding="utf-8"?>
<styleSheet xmlns="http://schemas.openxmlformats.org/spreadsheetml/2006/main">
  <numFmts count="11">
    <numFmt numFmtId="164" formatCode="$#,##0.00"/>
    <numFmt numFmtId="165" formatCode="$#,##0;($#,##0);-"/>
    <numFmt numFmtId="166" formatCode="$#,##0.00000"/>
    <numFmt numFmtId="167" formatCode="0.0%;(0.0%);-"/>
    <numFmt numFmtId="168" formatCode="0.000"/>
    <numFmt numFmtId="169" formatCode="#,##0;(#,##0);-"/>
    <numFmt numFmtId="170" formatCode="#,##0.0"/>
    <numFmt numFmtId="171" formatCode="0.0%"/>
    <numFmt numFmtId="172" formatCode="0.0&quot;x&quot;"/>
    <numFmt numFmtId="173" formatCode="0.0000"/>
    <numFmt numFmtId="174" formatCode="0.0"/>
  </numFmts>
  <fonts count="8">
    <font>
      <name val="Calibri"/>
      <family val="2"/>
      <color theme="1"/>
      <sz val="11"/>
      <scheme val="minor"/>
    </font>
    <font>
      <name val="Arial"/>
      <b val="1"/>
      <sz val="14"/>
    </font>
    <font>
      <name val="Arial"/>
      <i val="1"/>
      <color rgb="00595959"/>
      <sz val="9"/>
    </font>
    <font>
      <name val="Arial"/>
      <b val="1"/>
      <sz val="10"/>
    </font>
    <font>
      <name val="Arial"/>
      <sz val="10"/>
    </font>
    <font>
      <name val="Arial"/>
      <b val="1"/>
      <color rgb="00FFFFFF"/>
      <sz val="10"/>
    </font>
    <font>
      <name val="Arial"/>
      <color rgb="000000FF"/>
      <sz val="10"/>
    </font>
    <font>
      <name val="Arial"/>
      <color rgb="00008000"/>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xf>
    <xf numFmtId="0" fontId="4" fillId="0" borderId="0" applyAlignment="1" pivotButton="0" quotePrefix="0" xfId="0">
      <alignment vertical="top" wrapText="1"/>
    </xf>
    <xf numFmtId="0" fontId="5" fillId="2" borderId="0" applyAlignment="1" pivotButton="0" quotePrefix="0" xfId="0">
      <alignment horizontal="center" vertical="center" wrapText="1"/>
    </xf>
    <xf numFmtId="0" fontId="4" fillId="0" borderId="0" pivotButton="0" quotePrefix="0" xfId="0"/>
    <xf numFmtId="2" fontId="7" fillId="0" borderId="0" pivotButton="0" quotePrefix="0" xfId="0"/>
    <xf numFmtId="167" fontId="7" fillId="0" borderId="0" pivotButton="0" quotePrefix="0" xfId="0"/>
    <xf numFmtId="169" fontId="7" fillId="0" borderId="0" pivotButton="0" quotePrefix="0" xfId="0"/>
    <xf numFmtId="165" fontId="7" fillId="0" borderId="0" pivotButton="0" quotePrefix="0" xfId="0"/>
    <xf numFmtId="0" fontId="3" fillId="0" borderId="0" pivotButton="0" quotePrefix="0" xfId="0"/>
    <xf numFmtId="1" fontId="7" fillId="0" borderId="0" pivotButton="0" quotePrefix="0" xfId="0"/>
    <xf numFmtId="49" fontId="7" fillId="0" borderId="0" pivotButton="0" quotePrefix="0" xfId="0"/>
    <xf numFmtId="164" fontId="6" fillId="0" borderId="0" pivotButton="0" quotePrefix="0" xfId="0"/>
    <xf numFmtId="165" fontId="6" fillId="0" borderId="0" pivotButton="0" quotePrefix="0" xfId="0"/>
    <xf numFmtId="166" fontId="6" fillId="0" borderId="0" pivotButton="0" quotePrefix="0" xfId="0"/>
    <xf numFmtId="167" fontId="6" fillId="0" borderId="0" pivotButton="0" quotePrefix="0" xfId="0"/>
    <xf numFmtId="168" fontId="4" fillId="0" borderId="0" pivotButton="0" quotePrefix="0" xfId="0"/>
    <xf numFmtId="169" fontId="6" fillId="0" borderId="0" pivotButton="0" quotePrefix="0" xfId="0"/>
    <xf numFmtId="1" fontId="6" fillId="0" borderId="0" pivotButton="0" quotePrefix="0" xfId="0"/>
    <xf numFmtId="10" fontId="4" fillId="0" borderId="0" pivotButton="0" quotePrefix="0" xfId="0"/>
    <xf numFmtId="169" fontId="6" fillId="3" borderId="0" pivotButton="0" quotePrefix="0" xfId="0"/>
    <xf numFmtId="170" fontId="6" fillId="0" borderId="0" pivotButton="0" quotePrefix="0" xfId="0"/>
    <xf numFmtId="169" fontId="4" fillId="0" borderId="0" pivotButton="0" quotePrefix="0" xfId="0"/>
    <xf numFmtId="167" fontId="4" fillId="0" borderId="0" pivotButton="0" quotePrefix="0" xfId="0"/>
    <xf numFmtId="170" fontId="4" fillId="0" borderId="0" pivotButton="0" quotePrefix="0" xfId="0"/>
    <xf numFmtId="0" fontId="5" fillId="2" borderId="0" pivotButton="0" quotePrefix="0" xfId="0"/>
    <xf numFmtId="0" fontId="5" fillId="2" borderId="0" applyAlignment="1" pivotButton="0" quotePrefix="0" xfId="0">
      <alignment horizontal="center" vertical="top"/>
    </xf>
    <xf numFmtId="165" fontId="4" fillId="0" borderId="0" pivotButton="0" quotePrefix="0" xfId="0"/>
    <xf numFmtId="165" fontId="3" fillId="0" borderId="0" pivotButton="0" quotePrefix="0" xfId="0"/>
    <xf numFmtId="0" fontId="3" fillId="4" borderId="0" pivotButton="0" quotePrefix="0" xfId="0"/>
    <xf numFmtId="0" fontId="2" fillId="4" borderId="0" pivotButton="0" quotePrefix="0" xfId="0"/>
    <xf numFmtId="165" fontId="3" fillId="4" borderId="0" pivotButton="0" quotePrefix="0" xfId="0"/>
    <xf numFmtId="1" fontId="4" fillId="0" borderId="0" pivotButton="0" quotePrefix="0" xfId="0"/>
    <xf numFmtId="0" fontId="6" fillId="0" borderId="0" pivotButton="0" quotePrefix="0" xfId="0"/>
    <xf numFmtId="2" fontId="6" fillId="0" borderId="0" pivotButton="0" quotePrefix="0" xfId="0"/>
    <xf numFmtId="171" fontId="6" fillId="0" borderId="0" pivotButton="0" quotePrefix="0" xfId="0"/>
    <xf numFmtId="9" fontId="6" fillId="3" borderId="0" pivotButton="0" quotePrefix="0" xfId="0"/>
    <xf numFmtId="1" fontId="6" fillId="3" borderId="0" pivotButton="0" quotePrefix="0" xfId="0"/>
    <xf numFmtId="165" fontId="6" fillId="3" borderId="0" pivotButton="0" quotePrefix="0" xfId="0"/>
    <xf numFmtId="164" fontId="6" fillId="3" borderId="0" pivotButton="0" quotePrefix="0" xfId="0"/>
    <xf numFmtId="164" fontId="7" fillId="0" borderId="0" pivotButton="0" quotePrefix="0" xfId="0"/>
    <xf numFmtId="171" fontId="4" fillId="0" borderId="0" pivotButton="0" quotePrefix="0" xfId="0"/>
    <xf numFmtId="9" fontId="6" fillId="0" borderId="0" pivotButton="0" quotePrefix="0" xfId="0"/>
    <xf numFmtId="172" fontId="6" fillId="0" borderId="0" pivotButton="0" quotePrefix="0" xfId="0"/>
    <xf numFmtId="173" fontId="6" fillId="0" borderId="0" pivotButton="0" quotePrefix="0" xfId="0"/>
    <xf numFmtId="171" fontId="7" fillId="0" borderId="0" pivotButton="0" quotePrefix="0" xfId="0"/>
    <xf numFmtId="174"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30" customWidth="1" min="1" max="1"/>
    <col width="125" customWidth="1" min="2" max="2"/>
  </cols>
  <sheetData>
    <row r="1">
      <c r="A1" s="1" t="inlineStr">
        <is>
          <t>Hillview Harmony: Business Analytics scenario model</t>
        </is>
      </c>
    </row>
    <row r="2">
      <c r="A2" s="2" t="inlineStr">
        <is>
          <t>Quang, N. (2026) | MQBS3010 Capstone, Group 1I, Macquarie University | supports the Business Analytics chapter</t>
        </is>
      </c>
    </row>
    <row r="4" ht="18" customHeight="1">
      <c r="A4" s="3" t="inlineStr">
        <is>
          <t>Author</t>
        </is>
      </c>
      <c r="B4" s="4" t="inlineStr">
        <is>
          <t>Quang, N. (Business Analytics), MQBS3010 Capstone Team Group 1I, Session 2, 2026.</t>
        </is>
      </c>
    </row>
    <row r="5" ht="54" customHeight="1">
      <c r="A5" s="3" t="inlineStr">
        <is>
          <t>Purpose</t>
        </is>
      </c>
      <c r="B5" s="4" t="inlineStr">
        <is>
          <t>Scenario, sensitivity and simulation analysis behind the Business Analytics chapter. It re-runs the cost engine in Finance's FINAL workbooks (Drake, 2026a; 2026b; 2026c) under Low, Base and High demand, then tests how the Year 5 surplus compares with the 3% hurdle.</t>
        </is>
      </c>
    </row>
    <row r="6" ht="54" customHeight="1">
      <c r="A6" s="3" t="inlineStr">
        <is>
          <t>How it ties to Finance</t>
        </is>
      </c>
      <c r="B6" s="4" t="inlineStr">
        <is>
          <t>The "Finance plan" scenario reproduces Finance's Year 5 operating surplus of $203,657 and headline ARR of 46.6% (Drake, 2026b, Calculations!H84 and H85) to within $1. Every figure quoted in the chapter is listed on the Chapter_Check sheet with a live link to the cell that produces it.</t>
        </is>
      </c>
    </row>
    <row r="7" ht="36" customHeight="1">
      <c r="A7" s="3" t="inlineStr">
        <is>
          <t>Colour code</t>
        </is>
      </c>
      <c r="B7" s="4" t="inlineStr">
        <is>
          <t>Blue text = input copied from a source or an analyst assumption. Black = formula. Green = link to another sheet. Yellow fill = key analyst assumption to review.</t>
        </is>
      </c>
    </row>
    <row r="8" ht="72" customHeight="1">
      <c r="A8" s="3" t="inlineStr">
        <is>
          <t>Sheets</t>
        </is>
      </c>
      <c r="B8" s="4" t="inlineStr">
        <is>
          <t>Summary (scenario results) &gt; Inputs &gt; Scenarios (live formulas, four blocks) &gt; Returns (cash flows, lowest cash, payback) &gt; Sensitivity and MonteCarlo (static output of analysis.py: Python, seed 42, 10,000 runs) &gt; ModelRisk (live stress test) &gt; Comparators (the three benchmark charities) &gt; Recommendations (static output of tradeoff2.py) &gt; Chapter_Check &gt; References.</t>
        </is>
      </c>
    </row>
    <row r="9" ht="36" customHeight="1">
      <c r="A9" s="3" t="inlineStr">
        <is>
          <t>Units</t>
        </is>
      </c>
      <c r="B9" s="4" t="inlineStr">
        <is>
          <t>Real 2026 dollars, ex GST. Year 1 is the set-up year with no school programs. A student-day is one student attending one program day.</t>
        </is>
      </c>
    </row>
    <row r="10" ht="144" customHeight="1">
      <c r="A10" s="3" t="inlineStr">
        <is>
          <t>Key assumptions to review</t>
        </is>
      </c>
      <c r="B10" s="4" t="inlineStr">
        <is>
          <t>1) Low, Base and High use overnight camp sizes of 50, 72 and 90 students (69%, 100% and 125% of Base); 90 is the most students Finance's plan allows. 2) Growth rates (4.8%, 6.2%, 8.5%) are the minimum, mean and maximum of four year-on-year revenue observations at three charities (Quang, 2026; Crusader Union, 2025; Stewart House, 2025; YMCA Camping Ltd, 2024, 2025); Crusader Union excludes capital-campaign donations. 3) Wet and dry hire stay at Finance's volumes in every scenario. 4) Cash flows after Year 5 are held flat at the Year 5 level and are used only to date payback. 5) The Year 3 restoration, conservation plan and 50% surplus reinvestment follow Finance's Section 2.5 layer (Drake, 2026b). 6) Hurdle: 3% of average investment ($13,100, Finance's basis); on the full $1 million endowment it is $30,000 (reported as a limit).</t>
        </is>
      </c>
    </row>
    <row r="11" ht="54" customHeight="1">
      <c r="A11" s="3" t="inlineStr">
        <is>
          <t>Limitations</t>
        </is>
      </c>
      <c r="B11" s="4" t="inlineStr">
        <is>
          <t>Contractor cost scales with program days. Simulated inputs are independent and their ranges are our judgment, anchored to Finance's reliability ratings (Drake, 2026a). Growth comes from revenue, not student-days. Capacity (250 days x 270 students) is Finance's.</t>
        </is>
      </c>
    </row>
    <row r="12" ht="54" customHeight="1">
      <c r="A12" s="3" t="inlineStr">
        <is>
          <t>How to cite</t>
        </is>
      </c>
      <c r="B12" s="4" t="inlineStr">
        <is>
          <t>In text: (Quang, 2026). Reference: Quang, N. (2026) Hillview Harmony: Business Analytics scenario model [Excel workbook]. MQBS3010 Group 1I, Macquarie University. Unpublished. Python code: Quang, N. (2026) Hillview Harmony: Business Analytics model [Python code]. MQBS3010 Group 1I, Macquarie University. Unpublished.</t>
        </is>
      </c>
    </row>
    <row r="13" ht="54" customHeight="1">
      <c r="A13" s="3" t="inlineStr">
        <is>
          <t>Sources</t>
        </is>
      </c>
      <c r="B13" s="4" t="inlineStr">
        <is>
          <t>All sources are cited in Harvard style on the Inputs, Comparators, ModelRisk and Chapter_Check sheets and listed in full on the References sheet. Finance workbooks: (Drake, 2026a) cost structure and break-even; (Drake, 2026b) performance and returns; (Drake, 2026c) capital allocation.</t>
        </is>
      </c>
    </row>
    <row r="14" ht="54" customHeight="1">
      <c r="A14" s="3" t="inlineStr">
        <is>
          <t>AI use (edit before submitting)</t>
        </is>
      </c>
      <c r="B14" s="4" t="inlineStr">
        <is>
          <t>Claude (Anthropic) was used to help rebuild Finance's cost engine in Python, run the scenarios, sensitivity and simulation, and build this workbook. The author set the questions, checked every input against Finance's workbooks and reconciled the outputs to the chapter. Delete or edit this line to match the unit's AI disclosure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showGridLines="0" workbookViewId="0">
      <selection activeCell="A1" sqref="A1"/>
    </sheetView>
  </sheetViews>
  <sheetFormatPr baseColWidth="8" defaultRowHeight="15"/>
  <cols>
    <col width="62" customWidth="1" min="1" max="1"/>
    <col width="16" customWidth="1" min="2" max="2"/>
    <col width="16" customWidth="1" min="3" max="3"/>
    <col width="16" customWidth="1" min="4" max="4"/>
    <col width="16" customWidth="1" min="5" max="5"/>
  </cols>
  <sheetData>
    <row r="1">
      <c r="A1" s="1" t="inlineStr">
        <is>
          <t>Scenario summary</t>
        </is>
      </c>
    </row>
    <row r="2">
      <c r="A2" s="2" t="inlineStr">
        <is>
          <t>All figures are formulas linked to Scenarios and Returns. Real 2026 dollars.</t>
        </is>
      </c>
    </row>
    <row r="4">
      <c r="A4" s="5" t="inlineStr">
        <is>
          <t>Measure</t>
        </is>
      </c>
      <c r="B4" s="5" t="inlineStr">
        <is>
          <t>Low</t>
        </is>
      </c>
      <c r="C4" s="5" t="inlineStr">
        <is>
          <t>Base</t>
        </is>
      </c>
      <c r="D4" s="5" t="inlineStr">
        <is>
          <t>Finance plan</t>
        </is>
      </c>
      <c r="E4" s="5" t="inlineStr">
        <is>
          <t>High</t>
        </is>
      </c>
    </row>
    <row r="5">
      <c r="A5" s="6" t="inlineStr">
        <is>
          <t>Launch volume multiplier (vs Finance Year 2)</t>
        </is>
      </c>
      <c r="B5" s="7">
        <f>Inputs!$C$42</f>
        <v/>
      </c>
      <c r="C5" s="7">
        <f>Inputs!$C$43</f>
        <v/>
      </c>
      <c r="D5" s="7" t="n">
        <v>1</v>
      </c>
      <c r="E5" s="7">
        <f>Inputs!$C$44</f>
        <v/>
      </c>
    </row>
    <row r="6">
      <c r="A6" s="6" t="inlineStr">
        <is>
          <t>Annual demand growth</t>
        </is>
      </c>
      <c r="B6" s="8">
        <f>Inputs!$D$36</f>
        <v/>
      </c>
      <c r="C6" s="8">
        <f>Inputs!$D$37</f>
        <v/>
      </c>
      <c r="D6" s="8">
        <f>(Inputs!G56/Inputs!D56)^(1/3)-1</f>
        <v/>
      </c>
      <c r="E6" s="8">
        <f>Inputs!$D$38</f>
        <v/>
      </c>
    </row>
    <row r="7">
      <c r="A7" s="6" t="inlineStr">
        <is>
          <t>Year 5 school student-days</t>
        </is>
      </c>
      <c r="B7" s="9">
        <f>Scenarios!G5</f>
        <v/>
      </c>
      <c r="C7" s="9">
        <f>Scenarios!G34</f>
        <v/>
      </c>
      <c r="D7" s="9">
        <f>Scenarios!G63</f>
        <v/>
      </c>
      <c r="E7" s="9">
        <f>Scenarios!G92</f>
        <v/>
      </c>
    </row>
    <row r="8">
      <c r="A8" s="6" t="inlineStr">
        <is>
          <t>Year 5 occupancy (% of capacity)</t>
        </is>
      </c>
      <c r="B8" s="8">
        <f>Scenarios!G6</f>
        <v/>
      </c>
      <c r="C8" s="8">
        <f>Scenarios!G35</f>
        <v/>
      </c>
      <c r="D8" s="8">
        <f>Scenarios!G64</f>
        <v/>
      </c>
      <c r="E8" s="8">
        <f>Scenarios!G93</f>
        <v/>
      </c>
    </row>
    <row r="9">
      <c r="A9" s="6" t="inlineStr">
        <is>
          <t>Year 5 revenue</t>
        </is>
      </c>
      <c r="B9" s="10">
        <f>Scenarios!G14</f>
        <v/>
      </c>
      <c r="C9" s="10">
        <f>Scenarios!G43</f>
        <v/>
      </c>
      <c r="D9" s="10">
        <f>Scenarios!G72</f>
        <v/>
      </c>
      <c r="E9" s="10">
        <f>Scenarios!G101</f>
        <v/>
      </c>
    </row>
    <row r="10">
      <c r="A10" s="11" t="inlineStr">
        <is>
          <t>Year 5 operating surplus (Finance 2.5 basis)</t>
        </is>
      </c>
      <c r="B10" s="10">
        <f>Scenarios!G30</f>
        <v/>
      </c>
      <c r="C10" s="10">
        <f>Scenarios!G59</f>
        <v/>
      </c>
      <c r="D10" s="10">
        <f>Scenarios!G88</f>
        <v/>
      </c>
      <c r="E10" s="10">
        <f>Scenarios!G117</f>
        <v/>
      </c>
    </row>
    <row r="11">
      <c r="A11" s="6" t="inlineStr">
        <is>
          <t>Year 5 total cost / revenue (incl. depreciation)</t>
        </is>
      </c>
      <c r="B11" s="8">
        <f>(Scenarios!G21+Scenarios!G23)/Scenarios!G14</f>
        <v/>
      </c>
      <c r="C11" s="8">
        <f>(Scenarios!G50+Scenarios!G52)/Scenarios!G43</f>
        <v/>
      </c>
      <c r="D11" s="8">
        <f>(Scenarios!G79+Scenarios!G81)/Scenarios!G72</f>
        <v/>
      </c>
      <c r="E11" s="8">
        <f>(Scenarios!G108+Scenarios!G110)/Scenarios!G101</f>
        <v/>
      </c>
    </row>
    <row r="12">
      <c r="A12" s="6" t="inlineStr">
        <is>
          <t>Average investment at Year 5 (2.2 base + reinvestment / 2)</t>
        </is>
      </c>
      <c r="B12" s="10">
        <f>Inputs!$B$14+(Inputs!$B$22+Inputs!$B$23+SUM(Scenarios!C28:G28))/2</f>
        <v/>
      </c>
      <c r="C12" s="10">
        <f>Inputs!$B$14+(Inputs!$B$22+Inputs!$B$23+SUM(Scenarios!C57:G57))/2</f>
        <v/>
      </c>
      <c r="D12" s="10">
        <f>Inputs!$B$14+(Inputs!$B$22+Inputs!$B$23+SUM(Scenarios!C86:G86))/2</f>
        <v/>
      </c>
      <c r="E12" s="10">
        <f>Inputs!$B$14+(Inputs!$B$22+Inputs!$B$23+SUM(Scenarios!C115:G115))/2</f>
        <v/>
      </c>
    </row>
    <row r="13">
      <c r="A13" s="6" t="inlineStr">
        <is>
          <t>Hurdle surplus: 3% of average investment</t>
        </is>
      </c>
      <c r="B13" s="10">
        <f>Inputs!$B$19*B12</f>
        <v/>
      </c>
      <c r="C13" s="10">
        <f>Inputs!$B$19*C12</f>
        <v/>
      </c>
      <c r="D13" s="10">
        <f>Inputs!$B$19*D12</f>
        <v/>
      </c>
      <c r="E13" s="10">
        <f>Inputs!$B$19*E12</f>
        <v/>
      </c>
    </row>
    <row r="14">
      <c r="A14" s="6" t="inlineStr">
        <is>
          <t>Hurdle surplus: 3% of $1M endowment</t>
        </is>
      </c>
      <c r="B14" s="10">
        <f>Inputs!$B$19*Inputs!$B$15</f>
        <v/>
      </c>
      <c r="C14" s="10">
        <f>Inputs!$B$19*Inputs!$B$15</f>
        <v/>
      </c>
      <c r="D14" s="10">
        <f>Inputs!$B$19*Inputs!$B$15</f>
        <v/>
      </c>
      <c r="E14" s="10">
        <f>Inputs!$B$19*Inputs!$B$15</f>
        <v/>
      </c>
    </row>
    <row r="15">
      <c r="A15" s="11" t="inlineStr">
        <is>
          <t>ARR, headline (Year 5 operating surplus / average investment)</t>
        </is>
      </c>
      <c r="B15" s="8">
        <f>Scenarios!G30/B12</f>
        <v/>
      </c>
      <c r="C15" s="8">
        <f>Scenarios!G59/C12</f>
        <v/>
      </c>
      <c r="D15" s="8">
        <f>Scenarios!G88/D12</f>
        <v/>
      </c>
      <c r="E15" s="8">
        <f>Scenarios!G117/E12</f>
        <v/>
      </c>
    </row>
    <row r="16">
      <c r="A16" s="6" t="inlineStr">
        <is>
          <t>ARR, conservative (Year 5 operating surplus / $1M)</t>
        </is>
      </c>
      <c r="B16" s="8">
        <f>Scenarios!G30/Inputs!$B$15</f>
        <v/>
      </c>
      <c r="C16" s="8">
        <f>Scenarios!G59/Inputs!$B$15</f>
        <v/>
      </c>
      <c r="D16" s="8">
        <f>Scenarios!G88/Inputs!$B$15</f>
        <v/>
      </c>
      <c r="E16" s="8">
        <f>Scenarios!G117/Inputs!$B$15</f>
        <v/>
      </c>
    </row>
    <row r="17">
      <c r="A17" s="6" t="inlineStr">
        <is>
          <t>ARR, 5-year average operating surplus / $1M (includes Year 1 loss)</t>
        </is>
      </c>
      <c r="B17" s="8">
        <f>AVERAGE(Scenarios!C30:G30)/Inputs!$B$15</f>
        <v/>
      </c>
      <c r="C17" s="8">
        <f>AVERAGE(Scenarios!C59:G59)/Inputs!$B$15</f>
        <v/>
      </c>
      <c r="D17" s="8">
        <f>AVERAGE(Scenarios!C88:G88)/Inputs!$B$15</f>
        <v/>
      </c>
      <c r="E17" s="8">
        <f>AVERAGE(Scenarios!C117:G117)/Inputs!$B$15</f>
        <v/>
      </c>
    </row>
    <row r="18">
      <c r="A18" s="11" t="inlineStr">
        <is>
          <t>Lowest year-end cash balance, Years 1-5</t>
        </is>
      </c>
      <c r="B18" s="10">
        <f>Returns!C8</f>
        <v/>
      </c>
      <c r="C18" s="10">
        <f>Returns!C15</f>
        <v/>
      </c>
      <c r="D18" s="10">
        <f>Returns!C22</f>
        <v/>
      </c>
      <c r="E18" s="10">
        <f>Returns!C29</f>
        <v/>
      </c>
    </row>
    <row r="19">
      <c r="A19" s="6" t="inlineStr">
        <is>
          <t>Payback year (cash flows after Year 5 held flat at Year 5)</t>
        </is>
      </c>
      <c r="B19" s="12">
        <f>Returns!C9</f>
        <v/>
      </c>
      <c r="C19" s="12">
        <f>Returns!C16</f>
        <v/>
      </c>
      <c r="D19" s="12">
        <f>Returns!C23</f>
        <v/>
      </c>
      <c r="E19" s="12">
        <f>Returns!C30</f>
        <v/>
      </c>
    </row>
    <row r="20">
      <c r="A20" s="6" t="inlineStr">
        <is>
          <t>Meets 3% hurdle on headline ARR?</t>
        </is>
      </c>
      <c r="B20" s="13">
        <f>IF(Scenarios!G30&gt;=B13,"Yes","No")</f>
        <v/>
      </c>
      <c r="C20" s="13">
        <f>IF(Scenarios!G59&gt;=C13,"Yes","No")</f>
        <v/>
      </c>
      <c r="D20" s="13">
        <f>IF(Scenarios!G88&gt;=D13,"Yes","No")</f>
        <v/>
      </c>
      <c r="E20" s="13">
        <f>IF(Scenarios!G117&gt;=E13,"Yes","No")</f>
        <v/>
      </c>
    </row>
    <row r="21">
      <c r="A21" s="6" t="inlineStr">
        <is>
          <t>Meets 3% hurdle on conservative ARR ($30k)?</t>
        </is>
      </c>
      <c r="B21" s="13">
        <f>IF(Scenarios!G30&gt;=B14,"Yes","No")</f>
        <v/>
      </c>
      <c r="C21" s="13">
        <f>IF(Scenarios!G59&gt;=C14,"Yes","No")</f>
        <v/>
      </c>
      <c r="D21" s="13">
        <f>IF(Scenarios!G88&gt;=D14,"Yes","No")</f>
        <v/>
      </c>
      <c r="E21" s="13">
        <f>IF(Scenarios!G117&gt;=E14,"Yes","No")</f>
        <v/>
      </c>
    </row>
    <row r="23">
      <c r="A23" s="2" t="inlineStr">
        <is>
          <t>Reading the table: headline ARR (Finance's basis, Drake, 2026b) and conservative ARR on the $1 million endowment give different hurdles ($13,100 and $30,000). The chapter measures on the headline basis and reports the conservative basis as a 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
  <sheetViews>
    <sheetView showGridLines="0" workbookViewId="0">
      <pane ySplit="3" topLeftCell="A4" activePane="bottomLeft" state="frozen"/>
      <selection pane="bottomLeft" activeCell="A1" sqref="A1"/>
    </sheetView>
  </sheetViews>
  <sheetFormatPr baseColWidth="8" defaultRowHeight="15"/>
  <cols>
    <col width="52" customWidth="1" min="1" max="1"/>
    <col width="24" customWidth="1" min="2" max="2"/>
    <col width="15" customWidth="1" min="3" max="3"/>
    <col width="15" customWidth="1" min="4" max="4"/>
    <col width="15" customWidth="1" min="5" max="5"/>
    <col width="15" customWidth="1" min="6" max="6"/>
    <col width="15" customWidth="1" min="7" max="7"/>
    <col width="40" customWidth="1" min="8" max="8"/>
  </cols>
  <sheetData>
    <row r="1">
      <c r="A1" s="1" t="inlineStr">
        <is>
          <t>Inputs (copied from Finance workbooks unless marked as analyst assumption)</t>
        </is>
      </c>
    </row>
    <row r="3">
      <c r="A3" s="5" t="inlineStr">
        <is>
          <t>Scalar input</t>
        </is>
      </c>
      <c r="B3" s="5" t="inlineStr">
        <is>
          <t>Value</t>
        </is>
      </c>
      <c r="C3" s="5" t="inlineStr">
        <is>
          <t>Unit</t>
        </is>
      </c>
      <c r="D3" s="5" t="inlineStr">
        <is>
          <t>Source</t>
        </is>
      </c>
    </row>
    <row r="4">
      <c r="A4" s="6" t="inlineStr">
        <is>
          <t>Day program price</t>
        </is>
      </c>
      <c r="B4" s="14" t="n">
        <v>98.602898</v>
      </c>
      <c r="C4" s="2" t="inlineStr">
        <is>
          <t>$ per student-day</t>
        </is>
      </c>
      <c r="D4" s="2" t="inlineStr">
        <is>
          <t>(Drake, 2026a) Pricing!C38 (cost-plus)</t>
        </is>
      </c>
    </row>
    <row r="5">
      <c r="A5" s="6" t="inlineStr">
        <is>
          <t>Residential program price</t>
        </is>
      </c>
      <c r="B5" s="14" t="n">
        <v>172.142983</v>
      </c>
      <c r="C5" s="2" t="inlineStr">
        <is>
          <t>$ per student-night</t>
        </is>
      </c>
      <c r="D5" s="2" t="inlineStr">
        <is>
          <t>(Drake, 2026a) Pricing!C47</t>
        </is>
      </c>
    </row>
    <row r="6">
      <c r="A6" s="6" t="inlineStr">
        <is>
          <t>Dry-hire rate</t>
        </is>
      </c>
      <c r="B6" s="15" t="n">
        <v>700</v>
      </c>
      <c r="C6" s="2" t="inlineStr">
        <is>
          <t>$ per room-day</t>
        </is>
      </c>
      <c r="D6" s="2" t="inlineStr">
        <is>
          <t>(Drake, 2026a) Assumptions!C8</t>
        </is>
      </c>
    </row>
    <row r="7">
      <c r="A7" s="6" t="inlineStr">
        <is>
          <t>Wet-hire price</t>
        </is>
      </c>
      <c r="B7" s="15" t="n">
        <v>11306.6667</v>
      </c>
      <c r="C7" s="2" t="inlineStr">
        <is>
          <t>$ per room-day</t>
        </is>
      </c>
      <c r="D7" s="2" t="inlineStr">
        <is>
          <t>(Drake, 2026a) Wet Hire Costs!C25</t>
        </is>
      </c>
    </row>
    <row r="8">
      <c r="A8" s="6" t="inlineStr">
        <is>
          <t>Wet-hire bought-in services</t>
        </is>
      </c>
      <c r="B8" s="15" t="n">
        <v>9476</v>
      </c>
      <c r="C8" s="2" t="inlineStr">
        <is>
          <t>$ per room-day</t>
        </is>
      </c>
      <c r="D8" s="2" t="inlineStr">
        <is>
          <t>(Drake, 2026a) Wet Hire Costs!I17</t>
        </is>
      </c>
    </row>
    <row r="9">
      <c r="A9" s="6" t="inlineStr">
        <is>
          <t>Contractor cost per program day (all activities)</t>
        </is>
      </c>
      <c r="B9" s="15" t="n">
        <v>3955</v>
      </c>
      <c r="C9" s="2" t="inlineStr">
        <is>
          <t>$ per program day</t>
        </is>
      </c>
      <c r="D9" s="2" t="inlineStr">
        <is>
          <t>(Drake, 2026a) Contractors!C20</t>
        </is>
      </c>
    </row>
    <row r="10">
      <c r="A10" s="6" t="inlineStr">
        <is>
          <t>Catering</t>
        </is>
      </c>
      <c r="B10" s="14" t="n">
        <v>21.33</v>
      </c>
      <c r="C10" s="2" t="inlineStr">
        <is>
          <t>$ per student-night</t>
        </is>
      </c>
      <c r="D10" s="2" t="inlineStr">
        <is>
          <t>(Drake, 2026a) Cost Register!D6</t>
        </is>
      </c>
    </row>
    <row r="11">
      <c r="A11" s="6" t="inlineStr">
        <is>
          <t>Workshop + market-garden supplies</t>
        </is>
      </c>
      <c r="B11" s="16" t="n">
        <v>6.65414</v>
      </c>
      <c r="C11" s="2" t="inlineStr">
        <is>
          <t>$ per school student-day</t>
        </is>
      </c>
      <c r="D11" s="2" t="inlineStr">
        <is>
          <t>(Drake, 2026a) Cost Register!D9 + D10</t>
        </is>
      </c>
    </row>
    <row r="12">
      <c r="A12" s="6" t="inlineStr">
        <is>
          <t>Payment fees</t>
        </is>
      </c>
      <c r="B12" s="17" t="n">
        <v>0.02</v>
      </c>
      <c r="C12" s="2" t="inlineStr">
        <is>
          <t>% of revenue</t>
        </is>
      </c>
      <c r="D12" s="2" t="inlineStr">
        <is>
          <t>(Drake, 2026a) Cost Register!D15</t>
        </is>
      </c>
    </row>
    <row r="13">
      <c r="A13" s="6" t="inlineStr">
        <is>
          <t>Nights per residential student-day</t>
        </is>
      </c>
      <c r="B13" s="18">
        <f>2/3</f>
        <v/>
      </c>
      <c r="C13" s="2" t="inlineStr">
        <is>
          <t>ratio</t>
        </is>
      </c>
      <c r="D13" s="2" t="inlineStr">
        <is>
          <t>(Drake, 2026a) 3-day, 2-night camp</t>
        </is>
      </c>
    </row>
    <row r="14">
      <c r="A14" s="6" t="inlineStr">
        <is>
          <t>Average investment before reinvestment (2.2 ARR Base)</t>
        </is>
      </c>
      <c r="B14" s="15" t="n">
        <v>281956.567</v>
      </c>
      <c r="C14" s="2" t="inlineStr">
        <is>
          <t>$</t>
        </is>
      </c>
      <c r="D14" s="2" t="inlineStr">
        <is>
          <t>(Drake, 2026c) ARR Base!B8</t>
        </is>
      </c>
    </row>
    <row r="15">
      <c r="A15" s="6" t="inlineStr">
        <is>
          <t>Endowment</t>
        </is>
      </c>
      <c r="B15" s="15" t="n">
        <v>1000000</v>
      </c>
      <c r="C15" s="2" t="inlineStr">
        <is>
          <t>$</t>
        </is>
      </c>
      <c r="D15" s="2" t="inlineStr">
        <is>
          <t>Capstone brief</t>
        </is>
      </c>
    </row>
    <row r="16">
      <c r="A16" s="6" t="inlineStr">
        <is>
          <t>Capex (Year 0)</t>
        </is>
      </c>
      <c r="B16" s="15" t="n">
        <v>452583.19</v>
      </c>
      <c r="C16" s="2" t="inlineStr">
        <is>
          <t>$</t>
        </is>
      </c>
      <c r="D16" s="2" t="inlineStr">
        <is>
          <t>(Drake, 2026c) Table 2.3!B18</t>
        </is>
      </c>
    </row>
    <row r="17">
      <c r="A17" s="6" t="inlineStr">
        <is>
          <t>One-off set-up expenses (Year 0)</t>
        </is>
      </c>
      <c r="B17" s="15" t="n">
        <v>89500</v>
      </c>
      <c r="C17" s="2" t="inlineStr">
        <is>
          <t>$</t>
        </is>
      </c>
      <c r="D17" s="2" t="inlineStr">
        <is>
          <t>(Drake, 2026c) Table 2.3!B33</t>
        </is>
      </c>
    </row>
    <row r="18">
      <c r="A18" s="6" t="inlineStr">
        <is>
          <t>Day-to-day working capital</t>
        </is>
      </c>
      <c r="B18" s="15" t="n">
        <v>55664.972</v>
      </c>
      <c r="C18" s="2" t="inlineStr">
        <is>
          <t>$</t>
        </is>
      </c>
      <c r="D18" s="2" t="inlineStr">
        <is>
          <t>(Drake, 2026c) Other Uses!B24</t>
        </is>
      </c>
    </row>
    <row r="19">
      <c r="A19" s="6" t="inlineStr">
        <is>
          <t>Hurdle rate</t>
        </is>
      </c>
      <c r="B19" s="17" t="n">
        <v>0.03</v>
      </c>
      <c r="C19" s="2" t="inlineStr">
        <is>
          <t>% per year</t>
        </is>
      </c>
      <c r="D19" s="2" t="inlineStr">
        <is>
          <t>Capstone brief / Finance</t>
        </is>
      </c>
    </row>
    <row r="20">
      <c r="A20" s="6" t="inlineStr">
        <is>
          <t>Working target rate</t>
        </is>
      </c>
      <c r="B20" s="17" t="n">
        <v>0.035</v>
      </c>
      <c r="C20" s="2" t="inlineStr">
        <is>
          <t>% per year</t>
        </is>
      </c>
      <c r="D20" s="2" t="inlineStr">
        <is>
          <t>(Drake, 2026a) Finance (CPI-aligned)</t>
        </is>
      </c>
    </row>
    <row r="21">
      <c r="A21" s="6" t="inlineStr">
        <is>
          <t>Capacity (250 days x 270 students)</t>
        </is>
      </c>
      <c r="B21" s="19" t="n">
        <v>67500</v>
      </c>
      <c r="C21" s="2" t="inlineStr">
        <is>
          <t>student-days per year</t>
        </is>
      </c>
      <c r="D21" s="2" t="inlineStr">
        <is>
          <t>(Drake, 2026a) Assumptions!C26 x C27</t>
        </is>
      </c>
    </row>
    <row r="22">
      <c r="A22" s="6" t="inlineStr">
        <is>
          <t>Wet-hire equipment, Year 3 (cash; depreciation already in 2.4)</t>
        </is>
      </c>
      <c r="B22" s="15" t="n">
        <v>35727</v>
      </c>
      <c r="C22" s="2" t="inlineStr">
        <is>
          <t>$</t>
        </is>
      </c>
      <c r="D22" s="2" t="inlineStr">
        <is>
          <t>(Drake, 2026b) Inputs!C31</t>
        </is>
      </c>
    </row>
    <row r="23">
      <c r="A23" s="6" t="inlineStr">
        <is>
          <t>Heritage restoration works, Year 3</t>
        </is>
      </c>
      <c r="B23" s="15" t="n">
        <v>100000</v>
      </c>
      <c r="C23" s="2" t="inlineStr">
        <is>
          <t>$</t>
        </is>
      </c>
      <c r="D23" s="2" t="inlineStr">
        <is>
          <t>(Drake, 2026b) Inputs!C32 (25-year life)</t>
        </is>
      </c>
    </row>
    <row r="24">
      <c r="A24" s="6" t="inlineStr">
        <is>
          <t>Restoration useful life</t>
        </is>
      </c>
      <c r="B24" s="20" t="n">
        <v>25</v>
      </c>
      <c r="C24" s="2" t="inlineStr">
        <is>
          <t>years</t>
        </is>
      </c>
      <c r="D24" s="2" t="inlineStr">
        <is>
          <t>(Drake, 2026b) Inputs!E32</t>
        </is>
      </c>
    </row>
    <row r="25">
      <c r="A25" s="6" t="inlineStr">
        <is>
          <t>Conservation management plan, Year 3 (expensed)</t>
        </is>
      </c>
      <c r="B25" s="15" t="n">
        <v>57500</v>
      </c>
      <c r="C25" s="2" t="inlineStr">
        <is>
          <t>$</t>
        </is>
      </c>
      <c r="D25" s="2" t="inlineStr">
        <is>
          <t>(Drake, 2026b) Inputs!C33</t>
        </is>
      </c>
    </row>
    <row r="26">
      <c r="A26" s="6" t="inlineStr">
        <is>
          <t>Share of surplus reinvested in conservation</t>
        </is>
      </c>
      <c r="B26" s="17" t="n">
        <v>0.5</v>
      </c>
      <c r="C26" s="2" t="inlineStr">
        <is>
          <t>% of surplus</t>
        </is>
      </c>
      <c r="D26" s="2" t="inlineStr">
        <is>
          <t>(Drake, 2026b) Inputs!B46</t>
        </is>
      </c>
    </row>
    <row r="27">
      <c r="A27" s="6" t="inlineStr">
        <is>
          <t>Policy start year</t>
        </is>
      </c>
      <c r="B27" s="20" t="n">
        <v>3</v>
      </c>
      <c r="C27" s="2" t="inlineStr">
        <is>
          <t>year</t>
        </is>
      </c>
      <c r="D27" s="2" t="inlineStr">
        <is>
          <t>(Drake, 2026b) Inputs!B47</t>
        </is>
      </c>
    </row>
    <row r="28">
      <c r="A28" s="6" t="inlineStr">
        <is>
          <t>Policy capex useful life</t>
        </is>
      </c>
      <c r="B28" s="20" t="n">
        <v>25</v>
      </c>
      <c r="C28" s="2" t="inlineStr">
        <is>
          <t>years</t>
        </is>
      </c>
      <c r="D28" s="2" t="inlineStr">
        <is>
          <t>(Drake, 2026b) Inputs!B49</t>
        </is>
      </c>
    </row>
    <row r="30">
      <c r="A30" s="11" t="inlineStr">
        <is>
          <t>Benchmark growth observations (Quang, 2026; Crusader Union, 2025; Stewart House, 2025; YMCA Camping Ltd, 2024, 2025)</t>
        </is>
      </c>
    </row>
    <row r="31">
      <c r="A31" s="5" t="inlineStr">
        <is>
          <t>Observation</t>
        </is>
      </c>
      <c r="B31" s="5" t="inlineStr">
        <is>
          <t>Prior-year revenue ($)</t>
        </is>
      </c>
      <c r="C31" s="5" t="inlineStr">
        <is>
          <t>Latest revenue ($)</t>
        </is>
      </c>
      <c r="D31" s="5" t="inlineStr">
        <is>
          <t>YoY growth</t>
        </is>
      </c>
    </row>
    <row r="32">
      <c r="A32" s="6" t="inlineStr">
        <is>
          <t>Stewart House CY2023 to CY2024</t>
        </is>
      </c>
      <c r="B32" s="15" t="n">
        <v>3162237</v>
      </c>
      <c r="C32" s="15" t="n">
        <v>3316064</v>
      </c>
      <c r="D32" s="21">
        <f>C32/B32-1</f>
        <v/>
      </c>
    </row>
    <row r="33">
      <c r="A33" s="6" t="inlineStr">
        <is>
          <t>Crusader Union FY23/24 to FY24/25 (excl. capital-campaign donations)</t>
        </is>
      </c>
      <c r="B33" s="15" t="n">
        <v>16813900</v>
      </c>
      <c r="C33" s="15" t="n">
        <v>18249398</v>
      </c>
      <c r="D33" s="21">
        <f>C33/B33-1</f>
        <v/>
      </c>
    </row>
    <row r="34">
      <c r="A34" s="6" t="inlineStr">
        <is>
          <t>YMCA Camping FY2023 to FY2024</t>
        </is>
      </c>
      <c r="B34" s="15" t="n">
        <v>18921663</v>
      </c>
      <c r="C34" s="15" t="n">
        <v>19825707</v>
      </c>
      <c r="D34" s="21">
        <f>C34/B34-1</f>
        <v/>
      </c>
    </row>
    <row r="35">
      <c r="A35" s="6" t="inlineStr">
        <is>
          <t>YMCA Camping FY2024 to FY2025</t>
        </is>
      </c>
      <c r="B35" s="15" t="n">
        <v>19825707</v>
      </c>
      <c r="C35" s="15" t="n">
        <v>21166872</v>
      </c>
      <c r="D35" s="21">
        <f>C35/B35-1</f>
        <v/>
      </c>
    </row>
    <row r="36">
      <c r="A36" s="11" t="inlineStr">
        <is>
          <t>Minimum (Low case)</t>
        </is>
      </c>
      <c r="D36" s="21">
        <f>MIN(D32:D35)</f>
        <v/>
      </c>
    </row>
    <row r="37">
      <c r="A37" s="11" t="inlineStr">
        <is>
          <t>Mean (Base case)</t>
        </is>
      </c>
      <c r="D37" s="21">
        <f>AVERAGE(D32:D35)</f>
        <v/>
      </c>
    </row>
    <row r="38">
      <c r="A38" s="11" t="inlineStr">
        <is>
          <t>Maximum (High case)</t>
        </is>
      </c>
      <c r="D38" s="21">
        <f>MAX(D32:D35)</f>
        <v/>
      </c>
    </row>
    <row r="40">
      <c r="A40" s="11" t="inlineStr">
        <is>
          <t>Launch-volume multipliers (overnight camp size: Low 50 is our assumption, Base 72 is Finance's Year 2 size, High 90 is Finance's maximum)</t>
        </is>
      </c>
    </row>
    <row r="41">
      <c r="A41" s="5" t="inlineStr">
        <is>
          <t>Scenario</t>
        </is>
      </c>
      <c r="B41" s="5" t="inlineStr">
        <is>
          <t>Overnight students</t>
        </is>
      </c>
      <c r="C41" s="5" t="inlineStr">
        <is>
          <t>Multiplier vs Base</t>
        </is>
      </c>
      <c r="D41" s="5" t="inlineStr"/>
    </row>
    <row r="42">
      <c r="A42" s="6" t="inlineStr">
        <is>
          <t>Low</t>
        </is>
      </c>
      <c r="B42" s="22" t="n">
        <v>50</v>
      </c>
      <c r="C42" s="18">
        <f>B42/72</f>
        <v/>
      </c>
    </row>
    <row r="43">
      <c r="A43" s="6" t="inlineStr">
        <is>
          <t>Base</t>
        </is>
      </c>
      <c r="B43" s="22" t="n">
        <v>72</v>
      </c>
      <c r="C43" s="18">
        <f>B43/72</f>
        <v/>
      </c>
    </row>
    <row r="44">
      <c r="A44" s="6" t="inlineStr">
        <is>
          <t>High</t>
        </is>
      </c>
      <c r="B44" s="22" t="n">
        <v>90</v>
      </c>
      <c r="C44" s="18">
        <f>B44/72</f>
        <v/>
      </c>
    </row>
    <row r="46">
      <c r="A46" s="11" t="inlineStr">
        <is>
          <t>Finance plan by year</t>
        </is>
      </c>
    </row>
    <row r="47">
      <c r="A47" s="5" t="inlineStr">
        <is>
          <t>Line</t>
        </is>
      </c>
      <c r="B47" s="5" t="inlineStr">
        <is>
          <t>Unit</t>
        </is>
      </c>
      <c r="C47" s="5" t="inlineStr">
        <is>
          <t>Year 1</t>
        </is>
      </c>
      <c r="D47" s="5" t="inlineStr">
        <is>
          <t>Year 2</t>
        </is>
      </c>
      <c r="E47" s="5" t="inlineStr">
        <is>
          <t>Year 3</t>
        </is>
      </c>
      <c r="F47" s="5" t="inlineStr">
        <is>
          <t>Year 4</t>
        </is>
      </c>
      <c r="G47" s="5" t="inlineStr">
        <is>
          <t>Year 5</t>
        </is>
      </c>
      <c r="H47" s="5" t="inlineStr">
        <is>
          <t>Source</t>
        </is>
      </c>
    </row>
    <row r="48">
      <c r="A48" s="6" t="inlineStr">
        <is>
          <t>Day-program student-days</t>
        </is>
      </c>
      <c r="B48" s="2" t="inlineStr">
        <is>
          <t>student-days</t>
        </is>
      </c>
      <c r="C48" s="19" t="n">
        <v>0</v>
      </c>
      <c r="D48" s="19" t="n">
        <v>3240</v>
      </c>
      <c r="E48" s="19" t="n">
        <v>3321</v>
      </c>
      <c r="F48" s="19" t="n">
        <v>3402</v>
      </c>
      <c r="G48" s="19" t="n">
        <v>3474</v>
      </c>
      <c r="H48" s="2" t="inlineStr">
        <is>
          <t>(Drake, 2026a) Volumes!C5:G5</t>
        </is>
      </c>
    </row>
    <row r="49">
      <c r="A49" s="6" t="inlineStr">
        <is>
          <t>Residential student-days</t>
        </is>
      </c>
      <c r="B49" s="2" t="inlineStr">
        <is>
          <t>student-days</t>
        </is>
      </c>
      <c r="C49" s="19" t="n">
        <v>0</v>
      </c>
      <c r="D49" s="19" t="n">
        <v>6480</v>
      </c>
      <c r="E49" s="19" t="n">
        <v>7371</v>
      </c>
      <c r="F49" s="19" t="n">
        <v>8343</v>
      </c>
      <c r="G49" s="19" t="n">
        <v>9423</v>
      </c>
      <c r="H49" s="2" t="inlineStr">
        <is>
          <t>(Drake, 2026a) Volumes!C6:G6</t>
        </is>
      </c>
    </row>
    <row r="50">
      <c r="A50" s="6" t="inlineStr">
        <is>
          <t>Program days operated (cycles)</t>
        </is>
      </c>
      <c r="B50" s="2" t="inlineStr">
        <is>
          <t>days</t>
        </is>
      </c>
      <c r="C50" s="23" t="n">
        <v>0</v>
      </c>
      <c r="D50" s="23" t="n">
        <v>72</v>
      </c>
      <c r="E50" s="23" t="n">
        <v>81.90000000000001</v>
      </c>
      <c r="F50" s="23" t="n">
        <v>92.7</v>
      </c>
      <c r="G50" s="23" t="n">
        <v>104.7</v>
      </c>
      <c r="H50" s="2" t="inlineStr">
        <is>
          <t>(Drake, 2026a) Volumes!C10:G10</t>
        </is>
      </c>
    </row>
    <row r="51">
      <c r="A51" s="6" t="inlineStr">
        <is>
          <t>Dry-hire room-days</t>
        </is>
      </c>
      <c r="B51" s="2" t="inlineStr">
        <is>
          <t>room-days</t>
        </is>
      </c>
      <c r="C51" s="19" t="n">
        <v>0</v>
      </c>
      <c r="D51" s="19" t="n">
        <v>12</v>
      </c>
      <c r="E51" s="19" t="n">
        <v>27</v>
      </c>
      <c r="F51" s="19" t="n">
        <v>0</v>
      </c>
      <c r="G51" s="19" t="n">
        <v>0</v>
      </c>
      <c r="H51" s="2" t="inlineStr">
        <is>
          <t>(Drake, 2026a) Volumes!C8:G8 (Low reliability)</t>
        </is>
      </c>
    </row>
    <row r="52">
      <c r="A52" s="6" t="inlineStr">
        <is>
          <t>Wet-hire room-days</t>
        </is>
      </c>
      <c r="B52" s="2" t="inlineStr">
        <is>
          <t>room-days</t>
        </is>
      </c>
      <c r="C52" s="19" t="n">
        <v>0</v>
      </c>
      <c r="D52" s="19" t="n">
        <v>0</v>
      </c>
      <c r="E52" s="19" t="n">
        <v>0</v>
      </c>
      <c r="F52" s="19" t="n">
        <v>36</v>
      </c>
      <c r="G52" s="19" t="n">
        <v>45</v>
      </c>
      <c r="H52" s="2" t="inlineStr">
        <is>
          <t>(Drake, 2026a) Volumes!C9:G9 (Low reliability)</t>
        </is>
      </c>
    </row>
    <row r="53">
      <c r="A53" s="6" t="inlineStr">
        <is>
          <t>Core staff cost</t>
        </is>
      </c>
      <c r="B53" s="2" t="inlineStr">
        <is>
          <t>$</t>
        </is>
      </c>
      <c r="C53" s="15" t="n">
        <v>102492.613</v>
      </c>
      <c r="D53" s="15" t="n">
        <v>310902.953</v>
      </c>
      <c r="E53" s="15" t="n">
        <v>310902.953</v>
      </c>
      <c r="F53" s="15" t="n">
        <v>310902.953</v>
      </c>
      <c r="G53" s="15" t="n">
        <v>310902.953</v>
      </c>
      <c r="H53" s="2" t="inlineStr">
        <is>
          <t>(Drake, 2026a) Staffing!P25:T25 (Site Manager + 3 General Supervisors)</t>
        </is>
      </c>
    </row>
    <row r="54">
      <c r="A54" s="6" t="inlineStr">
        <is>
          <t>Other fixed costs</t>
        </is>
      </c>
      <c r="B54" s="2" t="inlineStr">
        <is>
          <t>$</t>
        </is>
      </c>
      <c r="C54" s="15" t="n">
        <v>164443</v>
      </c>
      <c r="D54" s="15" t="n">
        <v>229443</v>
      </c>
      <c r="E54" s="15" t="n">
        <v>234147</v>
      </c>
      <c r="F54" s="15" t="n">
        <v>256121</v>
      </c>
      <c r="G54" s="15" t="n">
        <v>257171</v>
      </c>
      <c r="H54" s="2" t="inlineStr">
        <is>
          <t>(Drake, 2026a) Calculations!C37:G37</t>
        </is>
      </c>
    </row>
    <row r="55">
      <c r="A55" s="6" t="inlineStr">
        <is>
          <t>Depreciation</t>
        </is>
      </c>
      <c r="B55" s="2" t="inlineStr">
        <is>
          <t>$</t>
        </is>
      </c>
      <c r="C55" s="15" t="n">
        <v>57880</v>
      </c>
      <c r="D55" s="15" t="n">
        <v>57880</v>
      </c>
      <c r="E55" s="15" t="n">
        <v>65025</v>
      </c>
      <c r="F55" s="15" t="n">
        <v>51099</v>
      </c>
      <c r="G55" s="15" t="n">
        <v>51099</v>
      </c>
      <c r="H55" s="2" t="inlineStr">
        <is>
          <t>(Drake, 2026a) Assumptions!C32:C36</t>
        </is>
      </c>
    </row>
    <row r="56">
      <c r="A56" s="6" t="inlineStr">
        <is>
          <t>School student-days (Finance plan)</t>
        </is>
      </c>
      <c r="B56" s="2" t="inlineStr">
        <is>
          <t>calculated</t>
        </is>
      </c>
      <c r="C56" s="24">
        <f>C48+C49</f>
        <v/>
      </c>
      <c r="D56" s="24">
        <f>D48+D49</f>
        <v/>
      </c>
      <c r="E56" s="24">
        <f>E48+E49</f>
        <v/>
      </c>
      <c r="F56" s="24">
        <f>F48+F49</f>
        <v/>
      </c>
      <c r="G56" s="24">
        <f>G48+G49</f>
        <v/>
      </c>
    </row>
    <row r="57">
      <c r="A57" s="6" t="inlineStr">
        <is>
          <t>Day-program share of student-days</t>
        </is>
      </c>
      <c r="B57" s="2" t="inlineStr">
        <is>
          <t>calculated</t>
        </is>
      </c>
      <c r="C57" s="25">
        <f>IF(C48+C49=0,0,C48/(C48+C49))</f>
        <v/>
      </c>
      <c r="D57" s="25">
        <f>IF(D48+D49=0,0,D48/(D48+D49))</f>
        <v/>
      </c>
      <c r="E57" s="25">
        <f>IF(E48+E49=0,0,E48/(E48+E49))</f>
        <v/>
      </c>
      <c r="F57" s="25">
        <f>IF(F48+F49=0,0,F48/(F48+F49))</f>
        <v/>
      </c>
      <c r="G57" s="25">
        <f>IF(G48+G49=0,0,G48/(G48+G49))</f>
        <v/>
      </c>
    </row>
    <row r="58">
      <c r="A58" s="6" t="inlineStr">
        <is>
          <t>Students per program day (cycle fill)</t>
        </is>
      </c>
      <c r="B58" s="2" t="inlineStr">
        <is>
          <t>calculated</t>
        </is>
      </c>
      <c r="C58" s="26">
        <f>IF(C50=0,0,(C48+C49)/C50)</f>
        <v/>
      </c>
      <c r="D58" s="26">
        <f>IF(D50=0,0,(D48+D49)/D50)</f>
        <v/>
      </c>
      <c r="E58" s="26">
        <f>IF(E50=0,0,(E48+E49)/E50)</f>
        <v/>
      </c>
      <c r="F58" s="26">
        <f>IF(F50=0,0,(F48+F49)/F50)</f>
        <v/>
      </c>
      <c r="G58" s="26">
        <f>IF(G50=0,0,(G48+G49)/G50)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5" customWidth="1" min="3" max="3"/>
    <col width="15" customWidth="1" min="4" max="4"/>
    <col width="15" customWidth="1" min="5" max="5"/>
    <col width="15" customWidth="1" min="6" max="6"/>
    <col width="15" customWidth="1" min="7" max="7"/>
  </cols>
  <sheetData>
    <row r="1">
      <c r="A1" s="1" t="inlineStr">
        <is>
          <t>Scenario engine (formulas; reproduces Finance cost logic)</t>
        </is>
      </c>
    </row>
    <row r="2">
      <c r="A2" s="2" t="inlineStr">
        <is>
          <t>Low / Base / High: Year 2 volume = Finance Year 2 x launch multiplier, then grows at the benchmark rate. Finance plan: volumes copied from Finance.</t>
        </is>
      </c>
    </row>
    <row r="4">
      <c r="A4" s="27" t="inlineStr">
        <is>
          <t>Low</t>
        </is>
      </c>
      <c r="B4" s="27" t="inlineStr">
        <is>
          <t>Unit</t>
        </is>
      </c>
      <c r="C4" s="28" t="inlineStr">
        <is>
          <t>Year 1</t>
        </is>
      </c>
      <c r="D4" s="28" t="inlineStr">
        <is>
          <t>Year 2</t>
        </is>
      </c>
      <c r="E4" s="28" t="inlineStr">
        <is>
          <t>Year 3</t>
        </is>
      </c>
      <c r="F4" s="28" t="inlineStr">
        <is>
          <t>Year 4</t>
        </is>
      </c>
      <c r="G4" s="28" t="inlineStr">
        <is>
          <t>Year 5</t>
        </is>
      </c>
    </row>
    <row r="5">
      <c r="A5" s="6" t="inlineStr">
        <is>
          <t>School student-days</t>
        </is>
      </c>
      <c r="B5" s="2" t="inlineStr">
        <is>
          <t>student-days</t>
        </is>
      </c>
      <c r="C5" s="24" t="n">
        <v>0</v>
      </c>
      <c r="D5" s="24">
        <f>Inputs!D$56*Inputs!$C$42</f>
        <v/>
      </c>
      <c r="E5" s="24">
        <f>D5*(1+Inputs!$D$36)</f>
        <v/>
      </c>
      <c r="F5" s="24">
        <f>E5*(1+Inputs!$D$36)</f>
        <v/>
      </c>
      <c r="G5" s="24">
        <f>F5*(1+Inputs!$D$36)</f>
        <v/>
      </c>
    </row>
    <row r="6">
      <c r="A6" s="6" t="inlineStr">
        <is>
          <t>Occupancy (% of capacity)</t>
        </is>
      </c>
      <c r="B6" s="2" t="inlineStr">
        <is>
          <t>%</t>
        </is>
      </c>
      <c r="C6" s="25">
        <f>C5/Inputs!$B$21</f>
        <v/>
      </c>
      <c r="D6" s="25">
        <f>D5/Inputs!$B$21</f>
        <v/>
      </c>
      <c r="E6" s="25">
        <f>E5/Inputs!$B$21</f>
        <v/>
      </c>
      <c r="F6" s="25">
        <f>F5/Inputs!$B$21</f>
        <v/>
      </c>
      <c r="G6" s="25">
        <f>G5/Inputs!$B$21</f>
        <v/>
      </c>
    </row>
    <row r="7">
      <c r="A7" s="6" t="inlineStr">
        <is>
          <t>Day-program student-days</t>
        </is>
      </c>
      <c r="B7" s="2" t="inlineStr">
        <is>
          <t>student-days</t>
        </is>
      </c>
      <c r="C7" s="24">
        <f>C5*Inputs!C$57</f>
        <v/>
      </c>
      <c r="D7" s="24">
        <f>D5*Inputs!D$57</f>
        <v/>
      </c>
      <c r="E7" s="24">
        <f>E5*Inputs!E$57</f>
        <v/>
      </c>
      <c r="F7" s="24">
        <f>F5*Inputs!F$57</f>
        <v/>
      </c>
      <c r="G7" s="24">
        <f>G5*Inputs!G$57</f>
        <v/>
      </c>
    </row>
    <row r="8">
      <c r="A8" s="6" t="inlineStr">
        <is>
          <t>Residential student-days</t>
        </is>
      </c>
      <c r="B8" s="2" t="inlineStr">
        <is>
          <t>student-days</t>
        </is>
      </c>
      <c r="C8" s="24">
        <f>C5-C7</f>
        <v/>
      </c>
      <c r="D8" s="24">
        <f>D5-D7</f>
        <v/>
      </c>
      <c r="E8" s="24">
        <f>E5-E7</f>
        <v/>
      </c>
      <c r="F8" s="24">
        <f>F5-F7</f>
        <v/>
      </c>
      <c r="G8" s="24">
        <f>G5-G7</f>
        <v/>
      </c>
    </row>
    <row r="9">
      <c r="A9" s="6" t="inlineStr">
        <is>
          <t>Residential student-nights</t>
        </is>
      </c>
      <c r="B9" s="2" t="inlineStr">
        <is>
          <t>student-nights</t>
        </is>
      </c>
      <c r="C9" s="24">
        <f>C8*Inputs!$B$13</f>
        <v/>
      </c>
      <c r="D9" s="24">
        <f>D8*Inputs!$B$13</f>
        <v/>
      </c>
      <c r="E9" s="24">
        <f>E8*Inputs!$B$13</f>
        <v/>
      </c>
      <c r="F9" s="24">
        <f>F8*Inputs!$B$13</f>
        <v/>
      </c>
      <c r="G9" s="24">
        <f>G8*Inputs!$B$13</f>
        <v/>
      </c>
    </row>
    <row r="10">
      <c r="A10" s="6" t="inlineStr">
        <is>
          <t>Program days (cycles)</t>
        </is>
      </c>
      <c r="B10" s="2" t="inlineStr">
        <is>
          <t>days</t>
        </is>
      </c>
      <c r="C10" s="26">
        <f>IF(Inputs!C$58=0,0,C5/Inputs!C$58)</f>
        <v/>
      </c>
      <c r="D10" s="26">
        <f>IF(Inputs!D$58=0,0,D5/Inputs!D$58)</f>
        <v/>
      </c>
      <c r="E10" s="26">
        <f>IF(Inputs!E$58=0,0,E5/Inputs!E$58)</f>
        <v/>
      </c>
      <c r="F10" s="26">
        <f>IF(Inputs!F$58=0,0,F5/Inputs!F$58)</f>
        <v/>
      </c>
      <c r="G10" s="26">
        <f>IF(Inputs!G$58=0,0,G5/Inputs!G$58)</f>
        <v/>
      </c>
    </row>
    <row r="11">
      <c r="A11" s="6" t="inlineStr">
        <is>
          <t>School revenue</t>
        </is>
      </c>
      <c r="B11" s="2" t="inlineStr">
        <is>
          <t>$</t>
        </is>
      </c>
      <c r="C11" s="29">
        <f>C7*Inputs!$B$4+C9*Inputs!$B$5</f>
        <v/>
      </c>
      <c r="D11" s="29">
        <f>D7*Inputs!$B$4+D9*Inputs!$B$5</f>
        <v/>
      </c>
      <c r="E11" s="29">
        <f>E7*Inputs!$B$4+E9*Inputs!$B$5</f>
        <v/>
      </c>
      <c r="F11" s="29">
        <f>F7*Inputs!$B$4+F9*Inputs!$B$5</f>
        <v/>
      </c>
      <c r="G11" s="29">
        <f>G7*Inputs!$B$4+G9*Inputs!$B$5</f>
        <v/>
      </c>
    </row>
    <row r="12">
      <c r="A12" s="6" t="inlineStr">
        <is>
          <t>Dry-hire revenue</t>
        </is>
      </c>
      <c r="B12" s="2" t="inlineStr">
        <is>
          <t>$</t>
        </is>
      </c>
      <c r="C12" s="29">
        <f>Inputs!C$51*Inputs!$B$6</f>
        <v/>
      </c>
      <c r="D12" s="29">
        <f>Inputs!D$51*Inputs!$B$6</f>
        <v/>
      </c>
      <c r="E12" s="29">
        <f>Inputs!E$51*Inputs!$B$6</f>
        <v/>
      </c>
      <c r="F12" s="29">
        <f>Inputs!F$51*Inputs!$B$6</f>
        <v/>
      </c>
      <c r="G12" s="29">
        <f>Inputs!G$51*Inputs!$B$6</f>
        <v/>
      </c>
    </row>
    <row r="13">
      <c r="A13" s="6" t="inlineStr">
        <is>
          <t>Wet-hire revenue</t>
        </is>
      </c>
      <c r="B13" s="2" t="inlineStr">
        <is>
          <t>$</t>
        </is>
      </c>
      <c r="C13" s="29">
        <f>Inputs!C$52*Inputs!$B$7</f>
        <v/>
      </c>
      <c r="D13" s="29">
        <f>Inputs!D$52*Inputs!$B$7</f>
        <v/>
      </c>
      <c r="E13" s="29">
        <f>Inputs!E$52*Inputs!$B$7</f>
        <v/>
      </c>
      <c r="F13" s="29">
        <f>Inputs!F$52*Inputs!$B$7</f>
        <v/>
      </c>
      <c r="G13" s="29">
        <f>Inputs!G$52*Inputs!$B$7</f>
        <v/>
      </c>
    </row>
    <row r="14">
      <c r="A14" s="11" t="inlineStr">
        <is>
          <t>Total revenue</t>
        </is>
      </c>
      <c r="B14" s="2" t="inlineStr">
        <is>
          <t>$</t>
        </is>
      </c>
      <c r="C14" s="30">
        <f>C11+C12+C13</f>
        <v/>
      </c>
      <c r="D14" s="30">
        <f>D11+D12+D13</f>
        <v/>
      </c>
      <c r="E14" s="30">
        <f>E11+E12+E13</f>
        <v/>
      </c>
      <c r="F14" s="30">
        <f>F11+F12+F13</f>
        <v/>
      </c>
      <c r="G14" s="30">
        <f>G11+G12+G13</f>
        <v/>
      </c>
    </row>
    <row r="15">
      <c r="A15" s="6" t="inlineStr">
        <is>
          <t>Fixed cash costs (core staff + other fixed)</t>
        </is>
      </c>
      <c r="B15" s="2" t="inlineStr">
        <is>
          <t>$</t>
        </is>
      </c>
      <c r="C15" s="29">
        <f>Inputs!C$53+Inputs!C$54</f>
        <v/>
      </c>
      <c r="D15" s="29">
        <f>Inputs!D$53+Inputs!D$54</f>
        <v/>
      </c>
      <c r="E15" s="29">
        <f>Inputs!E$53+Inputs!E$54</f>
        <v/>
      </c>
      <c r="F15" s="29">
        <f>Inputs!F$53+Inputs!F$54</f>
        <v/>
      </c>
      <c r="G15" s="29">
        <f>Inputs!G$53+Inputs!G$54</f>
        <v/>
      </c>
    </row>
    <row r="16">
      <c r="A16" s="6" t="inlineStr">
        <is>
          <t>Program contractors</t>
        </is>
      </c>
      <c r="B16" s="2" t="inlineStr">
        <is>
          <t>$</t>
        </is>
      </c>
      <c r="C16" s="29">
        <f>C10*Inputs!$B$9</f>
        <v/>
      </c>
      <c r="D16" s="29">
        <f>D10*Inputs!$B$9</f>
        <v/>
      </c>
      <c r="E16" s="29">
        <f>E10*Inputs!$B$9</f>
        <v/>
      </c>
      <c r="F16" s="29">
        <f>F10*Inputs!$B$9</f>
        <v/>
      </c>
      <c r="G16" s="29">
        <f>G10*Inputs!$B$9</f>
        <v/>
      </c>
    </row>
    <row r="17">
      <c r="A17" s="6" t="inlineStr">
        <is>
          <t>Catering</t>
        </is>
      </c>
      <c r="B17" s="2" t="inlineStr">
        <is>
          <t>$</t>
        </is>
      </c>
      <c r="C17" s="29">
        <f>C9*Inputs!$B$10</f>
        <v/>
      </c>
      <c r="D17" s="29">
        <f>D9*Inputs!$B$10</f>
        <v/>
      </c>
      <c r="E17" s="29">
        <f>E9*Inputs!$B$10</f>
        <v/>
      </c>
      <c r="F17" s="29">
        <f>F9*Inputs!$B$10</f>
        <v/>
      </c>
      <c r="G17" s="29">
        <f>G9*Inputs!$B$10</f>
        <v/>
      </c>
    </row>
    <row r="18">
      <c r="A18" s="6" t="inlineStr">
        <is>
          <t>Program supplies</t>
        </is>
      </c>
      <c r="B18" s="2" t="inlineStr">
        <is>
          <t>$</t>
        </is>
      </c>
      <c r="C18" s="29">
        <f>C5*Inputs!$B$11</f>
        <v/>
      </c>
      <c r="D18" s="29">
        <f>D5*Inputs!$B$11</f>
        <v/>
      </c>
      <c r="E18" s="29">
        <f>E5*Inputs!$B$11</f>
        <v/>
      </c>
      <c r="F18" s="29">
        <f>F5*Inputs!$B$11</f>
        <v/>
      </c>
      <c r="G18" s="29">
        <f>G5*Inputs!$B$11</f>
        <v/>
      </c>
    </row>
    <row r="19">
      <c r="A19" s="6" t="inlineStr">
        <is>
          <t>Payment fees</t>
        </is>
      </c>
      <c r="B19" s="2" t="inlineStr">
        <is>
          <t>$</t>
        </is>
      </c>
      <c r="C19" s="29">
        <f>C14*Inputs!$B$12</f>
        <v/>
      </c>
      <c r="D19" s="29">
        <f>D14*Inputs!$B$12</f>
        <v/>
      </c>
      <c r="E19" s="29">
        <f>E14*Inputs!$B$12</f>
        <v/>
      </c>
      <c r="F19" s="29">
        <f>F14*Inputs!$B$12</f>
        <v/>
      </c>
      <c r="G19" s="29">
        <f>G14*Inputs!$B$12</f>
        <v/>
      </c>
    </row>
    <row r="20">
      <c r="A20" s="6" t="inlineStr">
        <is>
          <t>Wet-hire event services</t>
        </is>
      </c>
      <c r="B20" s="2" t="inlineStr">
        <is>
          <t>$</t>
        </is>
      </c>
      <c r="C20" s="29">
        <f>Inputs!C$52*Inputs!$B$8</f>
        <v/>
      </c>
      <c r="D20" s="29">
        <f>Inputs!D$52*Inputs!$B$8</f>
        <v/>
      </c>
      <c r="E20" s="29">
        <f>Inputs!E$52*Inputs!$B$8</f>
        <v/>
      </c>
      <c r="F20" s="29">
        <f>Inputs!F$52*Inputs!$B$8</f>
        <v/>
      </c>
      <c r="G20" s="29">
        <f>Inputs!G$52*Inputs!$B$8</f>
        <v/>
      </c>
    </row>
    <row r="21">
      <c r="A21" s="11" t="inlineStr">
        <is>
          <t>Total operating costs (cash)</t>
        </is>
      </c>
      <c r="B21" s="2" t="inlineStr">
        <is>
          <t>$</t>
        </is>
      </c>
      <c r="C21" s="30">
        <f>C15+SUM(C16:C20)</f>
        <v/>
      </c>
      <c r="D21" s="30">
        <f>D15+SUM(D16:D20)</f>
        <v/>
      </c>
      <c r="E21" s="30">
        <f>E15+SUM(E16:E20)</f>
        <v/>
      </c>
      <c r="F21" s="30">
        <f>F15+SUM(F16:F20)</f>
        <v/>
      </c>
      <c r="G21" s="30">
        <f>G15+SUM(G16:G20)</f>
        <v/>
      </c>
    </row>
    <row r="22">
      <c r="A22" s="11" t="inlineStr">
        <is>
          <t>Operating surplus before depreciation</t>
        </is>
      </c>
      <c r="B22" s="2" t="inlineStr">
        <is>
          <t>$</t>
        </is>
      </c>
      <c r="C22" s="30">
        <f>C14-C21</f>
        <v/>
      </c>
      <c r="D22" s="30">
        <f>D14-D21</f>
        <v/>
      </c>
      <c r="E22" s="30">
        <f>E14-E21</f>
        <v/>
      </c>
      <c r="F22" s="30">
        <f>F14-F21</f>
        <v/>
      </c>
      <c r="G22" s="30">
        <f>G14-G21</f>
        <v/>
      </c>
    </row>
    <row r="23">
      <c r="A23" s="6" t="inlineStr">
        <is>
          <t>Depreciation</t>
        </is>
      </c>
      <c r="B23" s="2" t="inlineStr">
        <is>
          <t>$</t>
        </is>
      </c>
      <c r="C23" s="10">
        <f>Inputs!C$55</f>
        <v/>
      </c>
      <c r="D23" s="10">
        <f>Inputs!D$55</f>
        <v/>
      </c>
      <c r="E23" s="10">
        <f>Inputs!E$55</f>
        <v/>
      </c>
      <c r="F23" s="10">
        <f>Inputs!F$55</f>
        <v/>
      </c>
      <c r="G23" s="10">
        <f>Inputs!G$55</f>
        <v/>
      </c>
    </row>
    <row r="24">
      <c r="A24" s="6" t="inlineStr">
        <is>
          <t>Surplus after depreciation (2.4 basis, before reinvestment layer)</t>
        </is>
      </c>
      <c r="B24" s="2" t="inlineStr">
        <is>
          <t>$</t>
        </is>
      </c>
      <c r="C24" s="29">
        <f>C22-C23</f>
        <v/>
      </c>
      <c r="D24" s="29">
        <f>D22-D23</f>
        <v/>
      </c>
      <c r="E24" s="29">
        <f>E22-E23</f>
        <v/>
      </c>
      <c r="F24" s="29">
        <f>F22-F23</f>
        <v/>
      </c>
      <c r="G24" s="29">
        <f>G22-G23</f>
        <v/>
      </c>
    </row>
    <row r="25">
      <c r="A25" s="6" t="inlineStr">
        <is>
          <t>Restoration depreciation (Year 3 onward)</t>
        </is>
      </c>
      <c r="B25" s="2" t="inlineStr">
        <is>
          <t>$</t>
        </is>
      </c>
      <c r="C25" s="29">
        <f>IF(1&gt;=3,Inputs!$B$23/Inputs!$B$24,0)</f>
        <v/>
      </c>
      <c r="D25" s="29">
        <f>IF(2&gt;=3,Inputs!$B$23/Inputs!$B$24,0)</f>
        <v/>
      </c>
      <c r="E25" s="29">
        <f>IF(3&gt;=3,Inputs!$B$23/Inputs!$B$24,0)</f>
        <v/>
      </c>
      <c r="F25" s="29">
        <f>IF(4&gt;=3,Inputs!$B$23/Inputs!$B$24,0)</f>
        <v/>
      </c>
      <c r="G25" s="29">
        <f>IF(5&gt;=3,Inputs!$B$23/Inputs!$B$24,0)</f>
        <v/>
      </c>
    </row>
    <row r="26">
      <c r="A26" s="6" t="inlineStr">
        <is>
          <t>Conservation management plan (Year 3, expensed)</t>
        </is>
      </c>
      <c r="B26" s="2" t="inlineStr">
        <is>
          <t>$</t>
        </is>
      </c>
      <c r="C26" s="29">
        <f>IF(1=3,Inputs!$B$25,0)</f>
        <v/>
      </c>
      <c r="D26" s="29">
        <f>IF(2=3,Inputs!$B$25,0)</f>
        <v/>
      </c>
      <c r="E26" s="29">
        <f>IF(3=3,Inputs!$B$25,0)</f>
        <v/>
      </c>
      <c r="F26" s="29">
        <f>IF(4=3,Inputs!$B$25,0)</f>
        <v/>
      </c>
      <c r="G26" s="29">
        <f>IF(5=3,Inputs!$B$25,0)</f>
        <v/>
      </c>
    </row>
    <row r="27">
      <c r="A27" s="6" t="inlineStr">
        <is>
          <t>Surplus before reinvestment-policy capex</t>
        </is>
      </c>
      <c r="B27" s="2" t="inlineStr">
        <is>
          <t>$</t>
        </is>
      </c>
      <c r="C27" s="29">
        <f>C24-C25-C26-0</f>
        <v/>
      </c>
      <c r="D27" s="29">
        <f>D24-D25-D26-C29</f>
        <v/>
      </c>
      <c r="E27" s="29">
        <f>E24-E25-E26-D29</f>
        <v/>
      </c>
      <c r="F27" s="29">
        <f>F24-F25-F26-E29</f>
        <v/>
      </c>
      <c r="G27" s="29">
        <f>G24-G25-G26-F29</f>
        <v/>
      </c>
    </row>
    <row r="28">
      <c r="A28" s="6" t="inlineStr">
        <is>
          <t>Policy capex (share of surplus, if positive)</t>
        </is>
      </c>
      <c r="B28" s="2" t="inlineStr">
        <is>
          <t>$</t>
        </is>
      </c>
      <c r="C28" s="29">
        <f>IF(AND(1&gt;=Inputs!$B$27,C27&gt;0),Inputs!$B$26*C27,0)</f>
        <v/>
      </c>
      <c r="D28" s="29">
        <f>IF(AND(2&gt;=Inputs!$B$27,D27&gt;0),Inputs!$B$26*D27,0)</f>
        <v/>
      </c>
      <c r="E28" s="29">
        <f>IF(AND(3&gt;=Inputs!$B$27,E27&gt;0),Inputs!$B$26*E27,0)</f>
        <v/>
      </c>
      <c r="F28" s="29">
        <f>IF(AND(4&gt;=Inputs!$B$27,F27&gt;0),Inputs!$B$26*F27,0)</f>
        <v/>
      </c>
      <c r="G28" s="29">
        <f>IF(AND(5&gt;=Inputs!$B$27,G27&gt;0),Inputs!$B$26*G27,0)</f>
        <v/>
      </c>
    </row>
    <row r="29">
      <c r="A29" s="6" t="inlineStr">
        <is>
          <t>Cumulative policy depreciation</t>
        </is>
      </c>
      <c r="B29" s="2" t="inlineStr">
        <is>
          <t>$</t>
        </is>
      </c>
      <c r="C29" s="29">
        <f>0+C28/Inputs!$B$28</f>
        <v/>
      </c>
      <c r="D29" s="29">
        <f>C29+D28/Inputs!$B$28</f>
        <v/>
      </c>
      <c r="E29" s="29">
        <f>D29+E28/Inputs!$B$28</f>
        <v/>
      </c>
      <c r="F29" s="29">
        <f>E29+F28/Inputs!$B$28</f>
        <v/>
      </c>
      <c r="G29" s="29">
        <f>F29+G28/Inputs!$B$28</f>
        <v/>
      </c>
    </row>
    <row r="30">
      <c r="A30" s="31" t="inlineStr">
        <is>
          <t>Operating surplus (Finance 2.5 basis)</t>
        </is>
      </c>
      <c r="B30" s="32" t="inlineStr">
        <is>
          <t>$</t>
        </is>
      </c>
      <c r="C30" s="33">
        <f>C27-C28/Inputs!$B$28</f>
        <v/>
      </c>
      <c r="D30" s="33">
        <f>D27-D28/Inputs!$B$28</f>
        <v/>
      </c>
      <c r="E30" s="33">
        <f>E27-E28/Inputs!$B$28</f>
        <v/>
      </c>
      <c r="F30" s="33">
        <f>F27-F28/Inputs!$B$28</f>
        <v/>
      </c>
      <c r="G30" s="33">
        <f>G27-G28/Inputs!$B$28</f>
        <v/>
      </c>
    </row>
    <row r="31">
      <c r="A31" s="6" t="inlineStr">
        <is>
          <t>Reinvestment capex paid in cash</t>
        </is>
      </c>
      <c r="B31" s="2" t="inlineStr">
        <is>
          <t>$</t>
        </is>
      </c>
      <c r="C31" s="29">
        <f>IF(1=3,Inputs!$B$22+Inputs!$B$23,0)+C28</f>
        <v/>
      </c>
      <c r="D31" s="29">
        <f>IF(2=3,Inputs!$B$22+Inputs!$B$23,0)+D28</f>
        <v/>
      </c>
      <c r="E31" s="29">
        <f>IF(3=3,Inputs!$B$22+Inputs!$B$23,0)+E28</f>
        <v/>
      </c>
      <c r="F31" s="29">
        <f>IF(4=3,Inputs!$B$22+Inputs!$B$23,0)+F28</f>
        <v/>
      </c>
      <c r="G31" s="29">
        <f>IF(5=3,Inputs!$B$22+Inputs!$B$23,0)+G28</f>
        <v/>
      </c>
    </row>
    <row r="33">
      <c r="A33" s="27" t="inlineStr">
        <is>
          <t>Base</t>
        </is>
      </c>
      <c r="B33" s="27" t="inlineStr">
        <is>
          <t>Unit</t>
        </is>
      </c>
      <c r="C33" s="28" t="inlineStr">
        <is>
          <t>Year 1</t>
        </is>
      </c>
      <c r="D33" s="28" t="inlineStr">
        <is>
          <t>Year 2</t>
        </is>
      </c>
      <c r="E33" s="28" t="inlineStr">
        <is>
          <t>Year 3</t>
        </is>
      </c>
      <c r="F33" s="28" t="inlineStr">
        <is>
          <t>Year 4</t>
        </is>
      </c>
      <c r="G33" s="28" t="inlineStr">
        <is>
          <t>Year 5</t>
        </is>
      </c>
    </row>
    <row r="34">
      <c r="A34" s="6" t="inlineStr">
        <is>
          <t>School student-days</t>
        </is>
      </c>
      <c r="B34" s="2" t="inlineStr">
        <is>
          <t>student-days</t>
        </is>
      </c>
      <c r="C34" s="24" t="n">
        <v>0</v>
      </c>
      <c r="D34" s="24">
        <f>Inputs!D$56*Inputs!$C$43</f>
        <v/>
      </c>
      <c r="E34" s="24">
        <f>D34*(1+Inputs!$D$37)</f>
        <v/>
      </c>
      <c r="F34" s="24">
        <f>E34*(1+Inputs!$D$37)</f>
        <v/>
      </c>
      <c r="G34" s="24">
        <f>F34*(1+Inputs!$D$37)</f>
        <v/>
      </c>
    </row>
    <row r="35">
      <c r="A35" s="6" t="inlineStr">
        <is>
          <t>Occupancy (% of capacity)</t>
        </is>
      </c>
      <c r="B35" s="2" t="inlineStr">
        <is>
          <t>%</t>
        </is>
      </c>
      <c r="C35" s="25">
        <f>C34/Inputs!$B$21</f>
        <v/>
      </c>
      <c r="D35" s="25">
        <f>D34/Inputs!$B$21</f>
        <v/>
      </c>
      <c r="E35" s="25">
        <f>E34/Inputs!$B$21</f>
        <v/>
      </c>
      <c r="F35" s="25">
        <f>F34/Inputs!$B$21</f>
        <v/>
      </c>
      <c r="G35" s="25">
        <f>G34/Inputs!$B$21</f>
        <v/>
      </c>
    </row>
    <row r="36">
      <c r="A36" s="6" t="inlineStr">
        <is>
          <t>Day-program student-days</t>
        </is>
      </c>
      <c r="B36" s="2" t="inlineStr">
        <is>
          <t>student-days</t>
        </is>
      </c>
      <c r="C36" s="24">
        <f>C34*Inputs!C$57</f>
        <v/>
      </c>
      <c r="D36" s="24">
        <f>D34*Inputs!D$57</f>
        <v/>
      </c>
      <c r="E36" s="24">
        <f>E34*Inputs!E$57</f>
        <v/>
      </c>
      <c r="F36" s="24">
        <f>F34*Inputs!F$57</f>
        <v/>
      </c>
      <c r="G36" s="24">
        <f>G34*Inputs!G$57</f>
        <v/>
      </c>
    </row>
    <row r="37">
      <c r="A37" s="6" t="inlineStr">
        <is>
          <t>Residential student-days</t>
        </is>
      </c>
      <c r="B37" s="2" t="inlineStr">
        <is>
          <t>student-days</t>
        </is>
      </c>
      <c r="C37" s="24">
        <f>C34-C36</f>
        <v/>
      </c>
      <c r="D37" s="24">
        <f>D34-D36</f>
        <v/>
      </c>
      <c r="E37" s="24">
        <f>E34-E36</f>
        <v/>
      </c>
      <c r="F37" s="24">
        <f>F34-F36</f>
        <v/>
      </c>
      <c r="G37" s="24">
        <f>G34-G36</f>
        <v/>
      </c>
    </row>
    <row r="38">
      <c r="A38" s="6" t="inlineStr">
        <is>
          <t>Residential student-nights</t>
        </is>
      </c>
      <c r="B38" s="2" t="inlineStr">
        <is>
          <t>student-nights</t>
        </is>
      </c>
      <c r="C38" s="24">
        <f>C37*Inputs!$B$13</f>
        <v/>
      </c>
      <c r="D38" s="24">
        <f>D37*Inputs!$B$13</f>
        <v/>
      </c>
      <c r="E38" s="24">
        <f>E37*Inputs!$B$13</f>
        <v/>
      </c>
      <c r="F38" s="24">
        <f>F37*Inputs!$B$13</f>
        <v/>
      </c>
      <c r="G38" s="24">
        <f>G37*Inputs!$B$13</f>
        <v/>
      </c>
    </row>
    <row r="39">
      <c r="A39" s="6" t="inlineStr">
        <is>
          <t>Program days (cycles)</t>
        </is>
      </c>
      <c r="B39" s="2" t="inlineStr">
        <is>
          <t>days</t>
        </is>
      </c>
      <c r="C39" s="26">
        <f>IF(Inputs!C$58=0,0,C34/Inputs!C$58)</f>
        <v/>
      </c>
      <c r="D39" s="26">
        <f>IF(Inputs!D$58=0,0,D34/Inputs!D$58)</f>
        <v/>
      </c>
      <c r="E39" s="26">
        <f>IF(Inputs!E$58=0,0,E34/Inputs!E$58)</f>
        <v/>
      </c>
      <c r="F39" s="26">
        <f>IF(Inputs!F$58=0,0,F34/Inputs!F$58)</f>
        <v/>
      </c>
      <c r="G39" s="26">
        <f>IF(Inputs!G$58=0,0,G34/Inputs!G$58)</f>
        <v/>
      </c>
    </row>
    <row r="40">
      <c r="A40" s="6" t="inlineStr">
        <is>
          <t>School revenue</t>
        </is>
      </c>
      <c r="B40" s="2" t="inlineStr">
        <is>
          <t>$</t>
        </is>
      </c>
      <c r="C40" s="29">
        <f>C36*Inputs!$B$4+C38*Inputs!$B$5</f>
        <v/>
      </c>
      <c r="D40" s="29">
        <f>D36*Inputs!$B$4+D38*Inputs!$B$5</f>
        <v/>
      </c>
      <c r="E40" s="29">
        <f>E36*Inputs!$B$4+E38*Inputs!$B$5</f>
        <v/>
      </c>
      <c r="F40" s="29">
        <f>F36*Inputs!$B$4+F38*Inputs!$B$5</f>
        <v/>
      </c>
      <c r="G40" s="29">
        <f>G36*Inputs!$B$4+G38*Inputs!$B$5</f>
        <v/>
      </c>
    </row>
    <row r="41">
      <c r="A41" s="6" t="inlineStr">
        <is>
          <t>Dry-hire revenue</t>
        </is>
      </c>
      <c r="B41" s="2" t="inlineStr">
        <is>
          <t>$</t>
        </is>
      </c>
      <c r="C41" s="29">
        <f>Inputs!C$51*Inputs!$B$6</f>
        <v/>
      </c>
      <c r="D41" s="29">
        <f>Inputs!D$51*Inputs!$B$6</f>
        <v/>
      </c>
      <c r="E41" s="29">
        <f>Inputs!E$51*Inputs!$B$6</f>
        <v/>
      </c>
      <c r="F41" s="29">
        <f>Inputs!F$51*Inputs!$B$6</f>
        <v/>
      </c>
      <c r="G41" s="29">
        <f>Inputs!G$51*Inputs!$B$6</f>
        <v/>
      </c>
    </row>
    <row r="42">
      <c r="A42" s="6" t="inlineStr">
        <is>
          <t>Wet-hire revenue</t>
        </is>
      </c>
      <c r="B42" s="2" t="inlineStr">
        <is>
          <t>$</t>
        </is>
      </c>
      <c r="C42" s="29">
        <f>Inputs!C$52*Inputs!$B$7</f>
        <v/>
      </c>
      <c r="D42" s="29">
        <f>Inputs!D$52*Inputs!$B$7</f>
        <v/>
      </c>
      <c r="E42" s="29">
        <f>Inputs!E$52*Inputs!$B$7</f>
        <v/>
      </c>
      <c r="F42" s="29">
        <f>Inputs!F$52*Inputs!$B$7</f>
        <v/>
      </c>
      <c r="G42" s="29">
        <f>Inputs!G$52*Inputs!$B$7</f>
        <v/>
      </c>
    </row>
    <row r="43">
      <c r="A43" s="11" t="inlineStr">
        <is>
          <t>Total revenue</t>
        </is>
      </c>
      <c r="B43" s="2" t="inlineStr">
        <is>
          <t>$</t>
        </is>
      </c>
      <c r="C43" s="30">
        <f>C40+C41+C42</f>
        <v/>
      </c>
      <c r="D43" s="30">
        <f>D40+D41+D42</f>
        <v/>
      </c>
      <c r="E43" s="30">
        <f>E40+E41+E42</f>
        <v/>
      </c>
      <c r="F43" s="30">
        <f>F40+F41+F42</f>
        <v/>
      </c>
      <c r="G43" s="30">
        <f>G40+G41+G42</f>
        <v/>
      </c>
    </row>
    <row r="44">
      <c r="A44" s="6" t="inlineStr">
        <is>
          <t>Fixed cash costs (core staff + other fixed)</t>
        </is>
      </c>
      <c r="B44" s="2" t="inlineStr">
        <is>
          <t>$</t>
        </is>
      </c>
      <c r="C44" s="29">
        <f>Inputs!C$53+Inputs!C$54</f>
        <v/>
      </c>
      <c r="D44" s="29">
        <f>Inputs!D$53+Inputs!D$54</f>
        <v/>
      </c>
      <c r="E44" s="29">
        <f>Inputs!E$53+Inputs!E$54</f>
        <v/>
      </c>
      <c r="F44" s="29">
        <f>Inputs!F$53+Inputs!F$54</f>
        <v/>
      </c>
      <c r="G44" s="29">
        <f>Inputs!G$53+Inputs!G$54</f>
        <v/>
      </c>
    </row>
    <row r="45">
      <c r="A45" s="6" t="inlineStr">
        <is>
          <t>Program contractors</t>
        </is>
      </c>
      <c r="B45" s="2" t="inlineStr">
        <is>
          <t>$</t>
        </is>
      </c>
      <c r="C45" s="29">
        <f>C39*Inputs!$B$9</f>
        <v/>
      </c>
      <c r="D45" s="29">
        <f>D39*Inputs!$B$9</f>
        <v/>
      </c>
      <c r="E45" s="29">
        <f>E39*Inputs!$B$9</f>
        <v/>
      </c>
      <c r="F45" s="29">
        <f>F39*Inputs!$B$9</f>
        <v/>
      </c>
      <c r="G45" s="29">
        <f>G39*Inputs!$B$9</f>
        <v/>
      </c>
    </row>
    <row r="46">
      <c r="A46" s="6" t="inlineStr">
        <is>
          <t>Catering</t>
        </is>
      </c>
      <c r="B46" s="2" t="inlineStr">
        <is>
          <t>$</t>
        </is>
      </c>
      <c r="C46" s="29">
        <f>C38*Inputs!$B$10</f>
        <v/>
      </c>
      <c r="D46" s="29">
        <f>D38*Inputs!$B$10</f>
        <v/>
      </c>
      <c r="E46" s="29">
        <f>E38*Inputs!$B$10</f>
        <v/>
      </c>
      <c r="F46" s="29">
        <f>F38*Inputs!$B$10</f>
        <v/>
      </c>
      <c r="G46" s="29">
        <f>G38*Inputs!$B$10</f>
        <v/>
      </c>
    </row>
    <row r="47">
      <c r="A47" s="6" t="inlineStr">
        <is>
          <t>Program supplies</t>
        </is>
      </c>
      <c r="B47" s="2" t="inlineStr">
        <is>
          <t>$</t>
        </is>
      </c>
      <c r="C47" s="29">
        <f>C34*Inputs!$B$11</f>
        <v/>
      </c>
      <c r="D47" s="29">
        <f>D34*Inputs!$B$11</f>
        <v/>
      </c>
      <c r="E47" s="29">
        <f>E34*Inputs!$B$11</f>
        <v/>
      </c>
      <c r="F47" s="29">
        <f>F34*Inputs!$B$11</f>
        <v/>
      </c>
      <c r="G47" s="29">
        <f>G34*Inputs!$B$11</f>
        <v/>
      </c>
    </row>
    <row r="48">
      <c r="A48" s="6" t="inlineStr">
        <is>
          <t>Payment fees</t>
        </is>
      </c>
      <c r="B48" s="2" t="inlineStr">
        <is>
          <t>$</t>
        </is>
      </c>
      <c r="C48" s="29">
        <f>C43*Inputs!$B$12</f>
        <v/>
      </c>
      <c r="D48" s="29">
        <f>D43*Inputs!$B$12</f>
        <v/>
      </c>
      <c r="E48" s="29">
        <f>E43*Inputs!$B$12</f>
        <v/>
      </c>
      <c r="F48" s="29">
        <f>F43*Inputs!$B$12</f>
        <v/>
      </c>
      <c r="G48" s="29">
        <f>G43*Inputs!$B$12</f>
        <v/>
      </c>
    </row>
    <row r="49">
      <c r="A49" s="6" t="inlineStr">
        <is>
          <t>Wet-hire event services</t>
        </is>
      </c>
      <c r="B49" s="2" t="inlineStr">
        <is>
          <t>$</t>
        </is>
      </c>
      <c r="C49" s="29">
        <f>Inputs!C$52*Inputs!$B$8</f>
        <v/>
      </c>
      <c r="D49" s="29">
        <f>Inputs!D$52*Inputs!$B$8</f>
        <v/>
      </c>
      <c r="E49" s="29">
        <f>Inputs!E$52*Inputs!$B$8</f>
        <v/>
      </c>
      <c r="F49" s="29">
        <f>Inputs!F$52*Inputs!$B$8</f>
        <v/>
      </c>
      <c r="G49" s="29">
        <f>Inputs!G$52*Inputs!$B$8</f>
        <v/>
      </c>
    </row>
    <row r="50">
      <c r="A50" s="11" t="inlineStr">
        <is>
          <t>Total operating costs (cash)</t>
        </is>
      </c>
      <c r="B50" s="2" t="inlineStr">
        <is>
          <t>$</t>
        </is>
      </c>
      <c r="C50" s="30">
        <f>C44+SUM(C45:C49)</f>
        <v/>
      </c>
      <c r="D50" s="30">
        <f>D44+SUM(D45:D49)</f>
        <v/>
      </c>
      <c r="E50" s="30">
        <f>E44+SUM(E45:E49)</f>
        <v/>
      </c>
      <c r="F50" s="30">
        <f>F44+SUM(F45:F49)</f>
        <v/>
      </c>
      <c r="G50" s="30">
        <f>G44+SUM(G45:G49)</f>
        <v/>
      </c>
    </row>
    <row r="51">
      <c r="A51" s="11" t="inlineStr">
        <is>
          <t>Operating surplus before depreciation</t>
        </is>
      </c>
      <c r="B51" s="2" t="inlineStr">
        <is>
          <t>$</t>
        </is>
      </c>
      <c r="C51" s="30">
        <f>C43-C50</f>
        <v/>
      </c>
      <c r="D51" s="30">
        <f>D43-D50</f>
        <v/>
      </c>
      <c r="E51" s="30">
        <f>E43-E50</f>
        <v/>
      </c>
      <c r="F51" s="30">
        <f>F43-F50</f>
        <v/>
      </c>
      <c r="G51" s="30">
        <f>G43-G50</f>
        <v/>
      </c>
    </row>
    <row r="52">
      <c r="A52" s="6" t="inlineStr">
        <is>
          <t>Depreciation</t>
        </is>
      </c>
      <c r="B52" s="2" t="inlineStr">
        <is>
          <t>$</t>
        </is>
      </c>
      <c r="C52" s="10">
        <f>Inputs!C$55</f>
        <v/>
      </c>
      <c r="D52" s="10">
        <f>Inputs!D$55</f>
        <v/>
      </c>
      <c r="E52" s="10">
        <f>Inputs!E$55</f>
        <v/>
      </c>
      <c r="F52" s="10">
        <f>Inputs!F$55</f>
        <v/>
      </c>
      <c r="G52" s="10">
        <f>Inputs!G$55</f>
        <v/>
      </c>
    </row>
    <row r="53">
      <c r="A53" s="6" t="inlineStr">
        <is>
          <t>Surplus after depreciation (2.4 basis, before reinvestment layer)</t>
        </is>
      </c>
      <c r="B53" s="2" t="inlineStr">
        <is>
          <t>$</t>
        </is>
      </c>
      <c r="C53" s="29">
        <f>C51-C52</f>
        <v/>
      </c>
      <c r="D53" s="29">
        <f>D51-D52</f>
        <v/>
      </c>
      <c r="E53" s="29">
        <f>E51-E52</f>
        <v/>
      </c>
      <c r="F53" s="29">
        <f>F51-F52</f>
        <v/>
      </c>
      <c r="G53" s="29">
        <f>G51-G52</f>
        <v/>
      </c>
    </row>
    <row r="54">
      <c r="A54" s="6" t="inlineStr">
        <is>
          <t>Restoration depreciation (Year 3 onward)</t>
        </is>
      </c>
      <c r="B54" s="2" t="inlineStr">
        <is>
          <t>$</t>
        </is>
      </c>
      <c r="C54" s="29">
        <f>IF(1&gt;=3,Inputs!$B$23/Inputs!$B$24,0)</f>
        <v/>
      </c>
      <c r="D54" s="29">
        <f>IF(2&gt;=3,Inputs!$B$23/Inputs!$B$24,0)</f>
        <v/>
      </c>
      <c r="E54" s="29">
        <f>IF(3&gt;=3,Inputs!$B$23/Inputs!$B$24,0)</f>
        <v/>
      </c>
      <c r="F54" s="29">
        <f>IF(4&gt;=3,Inputs!$B$23/Inputs!$B$24,0)</f>
        <v/>
      </c>
      <c r="G54" s="29">
        <f>IF(5&gt;=3,Inputs!$B$23/Inputs!$B$24,0)</f>
        <v/>
      </c>
    </row>
    <row r="55">
      <c r="A55" s="6" t="inlineStr">
        <is>
          <t>Conservation management plan (Year 3, expensed)</t>
        </is>
      </c>
      <c r="B55" s="2" t="inlineStr">
        <is>
          <t>$</t>
        </is>
      </c>
      <c r="C55" s="29">
        <f>IF(1=3,Inputs!$B$25,0)</f>
        <v/>
      </c>
      <c r="D55" s="29">
        <f>IF(2=3,Inputs!$B$25,0)</f>
        <v/>
      </c>
      <c r="E55" s="29">
        <f>IF(3=3,Inputs!$B$25,0)</f>
        <v/>
      </c>
      <c r="F55" s="29">
        <f>IF(4=3,Inputs!$B$25,0)</f>
        <v/>
      </c>
      <c r="G55" s="29">
        <f>IF(5=3,Inputs!$B$25,0)</f>
        <v/>
      </c>
    </row>
    <row r="56">
      <c r="A56" s="6" t="inlineStr">
        <is>
          <t>Surplus before reinvestment-policy capex</t>
        </is>
      </c>
      <c r="B56" s="2" t="inlineStr">
        <is>
          <t>$</t>
        </is>
      </c>
      <c r="C56" s="29">
        <f>C53-C54-C55-0</f>
        <v/>
      </c>
      <c r="D56" s="29">
        <f>D53-D54-D55-C58</f>
        <v/>
      </c>
      <c r="E56" s="29">
        <f>E53-E54-E55-D58</f>
        <v/>
      </c>
      <c r="F56" s="29">
        <f>F53-F54-F55-E58</f>
        <v/>
      </c>
      <c r="G56" s="29">
        <f>G53-G54-G55-F58</f>
        <v/>
      </c>
    </row>
    <row r="57">
      <c r="A57" s="6" t="inlineStr">
        <is>
          <t>Policy capex (share of surplus, if positive)</t>
        </is>
      </c>
      <c r="B57" s="2" t="inlineStr">
        <is>
          <t>$</t>
        </is>
      </c>
      <c r="C57" s="29">
        <f>IF(AND(1&gt;=Inputs!$B$27,C56&gt;0),Inputs!$B$26*C56,0)</f>
        <v/>
      </c>
      <c r="D57" s="29">
        <f>IF(AND(2&gt;=Inputs!$B$27,D56&gt;0),Inputs!$B$26*D56,0)</f>
        <v/>
      </c>
      <c r="E57" s="29">
        <f>IF(AND(3&gt;=Inputs!$B$27,E56&gt;0),Inputs!$B$26*E56,0)</f>
        <v/>
      </c>
      <c r="F57" s="29">
        <f>IF(AND(4&gt;=Inputs!$B$27,F56&gt;0),Inputs!$B$26*F56,0)</f>
        <v/>
      </c>
      <c r="G57" s="29">
        <f>IF(AND(5&gt;=Inputs!$B$27,G56&gt;0),Inputs!$B$26*G56,0)</f>
        <v/>
      </c>
    </row>
    <row r="58">
      <c r="A58" s="6" t="inlineStr">
        <is>
          <t>Cumulative policy depreciation</t>
        </is>
      </c>
      <c r="B58" s="2" t="inlineStr">
        <is>
          <t>$</t>
        </is>
      </c>
      <c r="C58" s="29">
        <f>0+C57/Inputs!$B$28</f>
        <v/>
      </c>
      <c r="D58" s="29">
        <f>C58+D57/Inputs!$B$28</f>
        <v/>
      </c>
      <c r="E58" s="29">
        <f>D58+E57/Inputs!$B$28</f>
        <v/>
      </c>
      <c r="F58" s="29">
        <f>E58+F57/Inputs!$B$28</f>
        <v/>
      </c>
      <c r="G58" s="29">
        <f>F58+G57/Inputs!$B$28</f>
        <v/>
      </c>
    </row>
    <row r="59">
      <c r="A59" s="31" t="inlineStr">
        <is>
          <t>Operating surplus (Finance 2.5 basis)</t>
        </is>
      </c>
      <c r="B59" s="32" t="inlineStr">
        <is>
          <t>$</t>
        </is>
      </c>
      <c r="C59" s="33">
        <f>C56-C57/Inputs!$B$28</f>
        <v/>
      </c>
      <c r="D59" s="33">
        <f>D56-D57/Inputs!$B$28</f>
        <v/>
      </c>
      <c r="E59" s="33">
        <f>E56-E57/Inputs!$B$28</f>
        <v/>
      </c>
      <c r="F59" s="33">
        <f>F56-F57/Inputs!$B$28</f>
        <v/>
      </c>
      <c r="G59" s="33">
        <f>G56-G57/Inputs!$B$28</f>
        <v/>
      </c>
    </row>
    <row r="60">
      <c r="A60" s="6" t="inlineStr">
        <is>
          <t>Reinvestment capex paid in cash</t>
        </is>
      </c>
      <c r="B60" s="2" t="inlineStr">
        <is>
          <t>$</t>
        </is>
      </c>
      <c r="C60" s="29">
        <f>IF(1=3,Inputs!$B$22+Inputs!$B$23,0)+C57</f>
        <v/>
      </c>
      <c r="D60" s="29">
        <f>IF(2=3,Inputs!$B$22+Inputs!$B$23,0)+D57</f>
        <v/>
      </c>
      <c r="E60" s="29">
        <f>IF(3=3,Inputs!$B$22+Inputs!$B$23,0)+E57</f>
        <v/>
      </c>
      <c r="F60" s="29">
        <f>IF(4=3,Inputs!$B$22+Inputs!$B$23,0)+F57</f>
        <v/>
      </c>
      <c r="G60" s="29">
        <f>IF(5=3,Inputs!$B$22+Inputs!$B$23,0)+G57</f>
        <v/>
      </c>
    </row>
    <row r="62">
      <c r="A62" s="27" t="inlineStr">
        <is>
          <t>Finance plan</t>
        </is>
      </c>
      <c r="B62" s="27" t="inlineStr">
        <is>
          <t>Unit</t>
        </is>
      </c>
      <c r="C62" s="28" t="inlineStr">
        <is>
          <t>Year 1</t>
        </is>
      </c>
      <c r="D62" s="28" t="inlineStr">
        <is>
          <t>Year 2</t>
        </is>
      </c>
      <c r="E62" s="28" t="inlineStr">
        <is>
          <t>Year 3</t>
        </is>
      </c>
      <c r="F62" s="28" t="inlineStr">
        <is>
          <t>Year 4</t>
        </is>
      </c>
      <c r="G62" s="28" t="inlineStr">
        <is>
          <t>Year 5</t>
        </is>
      </c>
    </row>
    <row r="63">
      <c r="A63" s="6" t="inlineStr">
        <is>
          <t>School student-days</t>
        </is>
      </c>
      <c r="B63" s="2" t="inlineStr">
        <is>
          <t>student-days</t>
        </is>
      </c>
      <c r="C63" s="9">
        <f>Inputs!C$56</f>
        <v/>
      </c>
      <c r="D63" s="9">
        <f>Inputs!D$56</f>
        <v/>
      </c>
      <c r="E63" s="9">
        <f>Inputs!E$56</f>
        <v/>
      </c>
      <c r="F63" s="9">
        <f>Inputs!F$56</f>
        <v/>
      </c>
      <c r="G63" s="9">
        <f>Inputs!G$56</f>
        <v/>
      </c>
    </row>
    <row r="64">
      <c r="A64" s="6" t="inlineStr">
        <is>
          <t>Occupancy (% of capacity)</t>
        </is>
      </c>
      <c r="B64" s="2" t="inlineStr">
        <is>
          <t>%</t>
        </is>
      </c>
      <c r="C64" s="25">
        <f>C63/Inputs!$B$21</f>
        <v/>
      </c>
      <c r="D64" s="25">
        <f>D63/Inputs!$B$21</f>
        <v/>
      </c>
      <c r="E64" s="25">
        <f>E63/Inputs!$B$21</f>
        <v/>
      </c>
      <c r="F64" s="25">
        <f>F63/Inputs!$B$21</f>
        <v/>
      </c>
      <c r="G64" s="25">
        <f>G63/Inputs!$B$21</f>
        <v/>
      </c>
    </row>
    <row r="65">
      <c r="A65" s="6" t="inlineStr">
        <is>
          <t>Day-program student-days</t>
        </is>
      </c>
      <c r="B65" s="2" t="inlineStr">
        <is>
          <t>student-days</t>
        </is>
      </c>
      <c r="C65" s="24">
        <f>C63*Inputs!C$57</f>
        <v/>
      </c>
      <c r="D65" s="24">
        <f>D63*Inputs!D$57</f>
        <v/>
      </c>
      <c r="E65" s="24">
        <f>E63*Inputs!E$57</f>
        <v/>
      </c>
      <c r="F65" s="24">
        <f>F63*Inputs!F$57</f>
        <v/>
      </c>
      <c r="G65" s="24">
        <f>G63*Inputs!G$57</f>
        <v/>
      </c>
    </row>
    <row r="66">
      <c r="A66" s="6" t="inlineStr">
        <is>
          <t>Residential student-days</t>
        </is>
      </c>
      <c r="B66" s="2" t="inlineStr">
        <is>
          <t>student-days</t>
        </is>
      </c>
      <c r="C66" s="24">
        <f>C63-C65</f>
        <v/>
      </c>
      <c r="D66" s="24">
        <f>D63-D65</f>
        <v/>
      </c>
      <c r="E66" s="24">
        <f>E63-E65</f>
        <v/>
      </c>
      <c r="F66" s="24">
        <f>F63-F65</f>
        <v/>
      </c>
      <c r="G66" s="24">
        <f>G63-G65</f>
        <v/>
      </c>
    </row>
    <row r="67">
      <c r="A67" s="6" t="inlineStr">
        <is>
          <t>Residential student-nights</t>
        </is>
      </c>
      <c r="B67" s="2" t="inlineStr">
        <is>
          <t>student-nights</t>
        </is>
      </c>
      <c r="C67" s="24">
        <f>C66*Inputs!$B$13</f>
        <v/>
      </c>
      <c r="D67" s="24">
        <f>D66*Inputs!$B$13</f>
        <v/>
      </c>
      <c r="E67" s="24">
        <f>E66*Inputs!$B$13</f>
        <v/>
      </c>
      <c r="F67" s="24">
        <f>F66*Inputs!$B$13</f>
        <v/>
      </c>
      <c r="G67" s="24">
        <f>G66*Inputs!$B$13</f>
        <v/>
      </c>
    </row>
    <row r="68">
      <c r="A68" s="6" t="inlineStr">
        <is>
          <t>Program days (cycles)</t>
        </is>
      </c>
      <c r="B68" s="2" t="inlineStr">
        <is>
          <t>days</t>
        </is>
      </c>
      <c r="C68" s="26">
        <f>IF(Inputs!C$58=0,0,C63/Inputs!C$58)</f>
        <v/>
      </c>
      <c r="D68" s="26">
        <f>IF(Inputs!D$58=0,0,D63/Inputs!D$58)</f>
        <v/>
      </c>
      <c r="E68" s="26">
        <f>IF(Inputs!E$58=0,0,E63/Inputs!E$58)</f>
        <v/>
      </c>
      <c r="F68" s="26">
        <f>IF(Inputs!F$58=0,0,F63/Inputs!F$58)</f>
        <v/>
      </c>
      <c r="G68" s="26">
        <f>IF(Inputs!G$58=0,0,G63/Inputs!G$58)</f>
        <v/>
      </c>
    </row>
    <row r="69">
      <c r="A69" s="6" t="inlineStr">
        <is>
          <t>School revenue</t>
        </is>
      </c>
      <c r="B69" s="2" t="inlineStr">
        <is>
          <t>$</t>
        </is>
      </c>
      <c r="C69" s="29">
        <f>C65*Inputs!$B$4+C67*Inputs!$B$5</f>
        <v/>
      </c>
      <c r="D69" s="29">
        <f>D65*Inputs!$B$4+D67*Inputs!$B$5</f>
        <v/>
      </c>
      <c r="E69" s="29">
        <f>E65*Inputs!$B$4+E67*Inputs!$B$5</f>
        <v/>
      </c>
      <c r="F69" s="29">
        <f>F65*Inputs!$B$4+F67*Inputs!$B$5</f>
        <v/>
      </c>
      <c r="G69" s="29">
        <f>G65*Inputs!$B$4+G67*Inputs!$B$5</f>
        <v/>
      </c>
    </row>
    <row r="70">
      <c r="A70" s="6" t="inlineStr">
        <is>
          <t>Dry-hire revenue</t>
        </is>
      </c>
      <c r="B70" s="2" t="inlineStr">
        <is>
          <t>$</t>
        </is>
      </c>
      <c r="C70" s="29">
        <f>Inputs!C$51*Inputs!$B$6</f>
        <v/>
      </c>
      <c r="D70" s="29">
        <f>Inputs!D$51*Inputs!$B$6</f>
        <v/>
      </c>
      <c r="E70" s="29">
        <f>Inputs!E$51*Inputs!$B$6</f>
        <v/>
      </c>
      <c r="F70" s="29">
        <f>Inputs!F$51*Inputs!$B$6</f>
        <v/>
      </c>
      <c r="G70" s="29">
        <f>Inputs!G$51*Inputs!$B$6</f>
        <v/>
      </c>
    </row>
    <row r="71">
      <c r="A71" s="6" t="inlineStr">
        <is>
          <t>Wet-hire revenue</t>
        </is>
      </c>
      <c r="B71" s="2" t="inlineStr">
        <is>
          <t>$</t>
        </is>
      </c>
      <c r="C71" s="29">
        <f>Inputs!C$52*Inputs!$B$7</f>
        <v/>
      </c>
      <c r="D71" s="29">
        <f>Inputs!D$52*Inputs!$B$7</f>
        <v/>
      </c>
      <c r="E71" s="29">
        <f>Inputs!E$52*Inputs!$B$7</f>
        <v/>
      </c>
      <c r="F71" s="29">
        <f>Inputs!F$52*Inputs!$B$7</f>
        <v/>
      </c>
      <c r="G71" s="29">
        <f>Inputs!G$52*Inputs!$B$7</f>
        <v/>
      </c>
    </row>
    <row r="72">
      <c r="A72" s="11" t="inlineStr">
        <is>
          <t>Total revenue</t>
        </is>
      </c>
      <c r="B72" s="2" t="inlineStr">
        <is>
          <t>$</t>
        </is>
      </c>
      <c r="C72" s="30">
        <f>C69+C70+C71</f>
        <v/>
      </c>
      <c r="D72" s="30">
        <f>D69+D70+D71</f>
        <v/>
      </c>
      <c r="E72" s="30">
        <f>E69+E70+E71</f>
        <v/>
      </c>
      <c r="F72" s="30">
        <f>F69+F70+F71</f>
        <v/>
      </c>
      <c r="G72" s="30">
        <f>G69+G70+G71</f>
        <v/>
      </c>
    </row>
    <row r="73">
      <c r="A73" s="6" t="inlineStr">
        <is>
          <t>Fixed cash costs (core staff + other fixed)</t>
        </is>
      </c>
      <c r="B73" s="2" t="inlineStr">
        <is>
          <t>$</t>
        </is>
      </c>
      <c r="C73" s="29">
        <f>Inputs!C$53+Inputs!C$54</f>
        <v/>
      </c>
      <c r="D73" s="29">
        <f>Inputs!D$53+Inputs!D$54</f>
        <v/>
      </c>
      <c r="E73" s="29">
        <f>Inputs!E$53+Inputs!E$54</f>
        <v/>
      </c>
      <c r="F73" s="29">
        <f>Inputs!F$53+Inputs!F$54</f>
        <v/>
      </c>
      <c r="G73" s="29">
        <f>Inputs!G$53+Inputs!G$54</f>
        <v/>
      </c>
    </row>
    <row r="74">
      <c r="A74" s="6" t="inlineStr">
        <is>
          <t>Program contractors</t>
        </is>
      </c>
      <c r="B74" s="2" t="inlineStr">
        <is>
          <t>$</t>
        </is>
      </c>
      <c r="C74" s="29">
        <f>C68*Inputs!$B$9</f>
        <v/>
      </c>
      <c r="D74" s="29">
        <f>D68*Inputs!$B$9</f>
        <v/>
      </c>
      <c r="E74" s="29">
        <f>E68*Inputs!$B$9</f>
        <v/>
      </c>
      <c r="F74" s="29">
        <f>F68*Inputs!$B$9</f>
        <v/>
      </c>
      <c r="G74" s="29">
        <f>G68*Inputs!$B$9</f>
        <v/>
      </c>
    </row>
    <row r="75">
      <c r="A75" s="6" t="inlineStr">
        <is>
          <t>Catering</t>
        </is>
      </c>
      <c r="B75" s="2" t="inlineStr">
        <is>
          <t>$</t>
        </is>
      </c>
      <c r="C75" s="29">
        <f>C67*Inputs!$B$10</f>
        <v/>
      </c>
      <c r="D75" s="29">
        <f>D67*Inputs!$B$10</f>
        <v/>
      </c>
      <c r="E75" s="29">
        <f>E67*Inputs!$B$10</f>
        <v/>
      </c>
      <c r="F75" s="29">
        <f>F67*Inputs!$B$10</f>
        <v/>
      </c>
      <c r="G75" s="29">
        <f>G67*Inputs!$B$10</f>
        <v/>
      </c>
    </row>
    <row r="76">
      <c r="A76" s="6" t="inlineStr">
        <is>
          <t>Program supplies</t>
        </is>
      </c>
      <c r="B76" s="2" t="inlineStr">
        <is>
          <t>$</t>
        </is>
      </c>
      <c r="C76" s="29">
        <f>C63*Inputs!$B$11</f>
        <v/>
      </c>
      <c r="D76" s="29">
        <f>D63*Inputs!$B$11</f>
        <v/>
      </c>
      <c r="E76" s="29">
        <f>E63*Inputs!$B$11</f>
        <v/>
      </c>
      <c r="F76" s="29">
        <f>F63*Inputs!$B$11</f>
        <v/>
      </c>
      <c r="G76" s="29">
        <f>G63*Inputs!$B$11</f>
        <v/>
      </c>
    </row>
    <row r="77">
      <c r="A77" s="6" t="inlineStr">
        <is>
          <t>Payment fees</t>
        </is>
      </c>
      <c r="B77" s="2" t="inlineStr">
        <is>
          <t>$</t>
        </is>
      </c>
      <c r="C77" s="29">
        <f>C72*Inputs!$B$12</f>
        <v/>
      </c>
      <c r="D77" s="29">
        <f>D72*Inputs!$B$12</f>
        <v/>
      </c>
      <c r="E77" s="29">
        <f>E72*Inputs!$B$12</f>
        <v/>
      </c>
      <c r="F77" s="29">
        <f>F72*Inputs!$B$12</f>
        <v/>
      </c>
      <c r="G77" s="29">
        <f>G72*Inputs!$B$12</f>
        <v/>
      </c>
    </row>
    <row r="78">
      <c r="A78" s="6" t="inlineStr">
        <is>
          <t>Wet-hire event services</t>
        </is>
      </c>
      <c r="B78" s="2" t="inlineStr">
        <is>
          <t>$</t>
        </is>
      </c>
      <c r="C78" s="29">
        <f>Inputs!C$52*Inputs!$B$8</f>
        <v/>
      </c>
      <c r="D78" s="29">
        <f>Inputs!D$52*Inputs!$B$8</f>
        <v/>
      </c>
      <c r="E78" s="29">
        <f>Inputs!E$52*Inputs!$B$8</f>
        <v/>
      </c>
      <c r="F78" s="29">
        <f>Inputs!F$52*Inputs!$B$8</f>
        <v/>
      </c>
      <c r="G78" s="29">
        <f>Inputs!G$52*Inputs!$B$8</f>
        <v/>
      </c>
    </row>
    <row r="79">
      <c r="A79" s="11" t="inlineStr">
        <is>
          <t>Total operating costs (cash)</t>
        </is>
      </c>
      <c r="B79" s="2" t="inlineStr">
        <is>
          <t>$</t>
        </is>
      </c>
      <c r="C79" s="30">
        <f>C73+SUM(C74:C78)</f>
        <v/>
      </c>
      <c r="D79" s="30">
        <f>D73+SUM(D74:D78)</f>
        <v/>
      </c>
      <c r="E79" s="30">
        <f>E73+SUM(E74:E78)</f>
        <v/>
      </c>
      <c r="F79" s="30">
        <f>F73+SUM(F74:F78)</f>
        <v/>
      </c>
      <c r="G79" s="30">
        <f>G73+SUM(G74:G78)</f>
        <v/>
      </c>
    </row>
    <row r="80">
      <c r="A80" s="11" t="inlineStr">
        <is>
          <t>Operating surplus before depreciation</t>
        </is>
      </c>
      <c r="B80" s="2" t="inlineStr">
        <is>
          <t>$</t>
        </is>
      </c>
      <c r="C80" s="30">
        <f>C72-C79</f>
        <v/>
      </c>
      <c r="D80" s="30">
        <f>D72-D79</f>
        <v/>
      </c>
      <c r="E80" s="30">
        <f>E72-E79</f>
        <v/>
      </c>
      <c r="F80" s="30">
        <f>F72-F79</f>
        <v/>
      </c>
      <c r="G80" s="30">
        <f>G72-G79</f>
        <v/>
      </c>
    </row>
    <row r="81">
      <c r="A81" s="6" t="inlineStr">
        <is>
          <t>Depreciation</t>
        </is>
      </c>
      <c r="B81" s="2" t="inlineStr">
        <is>
          <t>$</t>
        </is>
      </c>
      <c r="C81" s="10">
        <f>Inputs!C$55</f>
        <v/>
      </c>
      <c r="D81" s="10">
        <f>Inputs!D$55</f>
        <v/>
      </c>
      <c r="E81" s="10">
        <f>Inputs!E$55</f>
        <v/>
      </c>
      <c r="F81" s="10">
        <f>Inputs!F$55</f>
        <v/>
      </c>
      <c r="G81" s="10">
        <f>Inputs!G$55</f>
        <v/>
      </c>
    </row>
    <row r="82">
      <c r="A82" s="6" t="inlineStr">
        <is>
          <t>Surplus after depreciation (2.4 basis, before reinvestment layer)</t>
        </is>
      </c>
      <c r="B82" s="2" t="inlineStr">
        <is>
          <t>$</t>
        </is>
      </c>
      <c r="C82" s="29">
        <f>C80-C81</f>
        <v/>
      </c>
      <c r="D82" s="29">
        <f>D80-D81</f>
        <v/>
      </c>
      <c r="E82" s="29">
        <f>E80-E81</f>
        <v/>
      </c>
      <c r="F82" s="29">
        <f>F80-F81</f>
        <v/>
      </c>
      <c r="G82" s="29">
        <f>G80-G81</f>
        <v/>
      </c>
    </row>
    <row r="83">
      <c r="A83" s="6" t="inlineStr">
        <is>
          <t>Restoration depreciation (Year 3 onward)</t>
        </is>
      </c>
      <c r="B83" s="2" t="inlineStr">
        <is>
          <t>$</t>
        </is>
      </c>
      <c r="C83" s="29">
        <f>IF(1&gt;=3,Inputs!$B$23/Inputs!$B$24,0)</f>
        <v/>
      </c>
      <c r="D83" s="29">
        <f>IF(2&gt;=3,Inputs!$B$23/Inputs!$B$24,0)</f>
        <v/>
      </c>
      <c r="E83" s="29">
        <f>IF(3&gt;=3,Inputs!$B$23/Inputs!$B$24,0)</f>
        <v/>
      </c>
      <c r="F83" s="29">
        <f>IF(4&gt;=3,Inputs!$B$23/Inputs!$B$24,0)</f>
        <v/>
      </c>
      <c r="G83" s="29">
        <f>IF(5&gt;=3,Inputs!$B$23/Inputs!$B$24,0)</f>
        <v/>
      </c>
    </row>
    <row r="84">
      <c r="A84" s="6" t="inlineStr">
        <is>
          <t>Conservation management plan (Year 3, expensed)</t>
        </is>
      </c>
      <c r="B84" s="2" t="inlineStr">
        <is>
          <t>$</t>
        </is>
      </c>
      <c r="C84" s="29">
        <f>IF(1=3,Inputs!$B$25,0)</f>
        <v/>
      </c>
      <c r="D84" s="29">
        <f>IF(2=3,Inputs!$B$25,0)</f>
        <v/>
      </c>
      <c r="E84" s="29">
        <f>IF(3=3,Inputs!$B$25,0)</f>
        <v/>
      </c>
      <c r="F84" s="29">
        <f>IF(4=3,Inputs!$B$25,0)</f>
        <v/>
      </c>
      <c r="G84" s="29">
        <f>IF(5=3,Inputs!$B$25,0)</f>
        <v/>
      </c>
    </row>
    <row r="85">
      <c r="A85" s="6" t="inlineStr">
        <is>
          <t>Surplus before reinvestment-policy capex</t>
        </is>
      </c>
      <c r="B85" s="2" t="inlineStr">
        <is>
          <t>$</t>
        </is>
      </c>
      <c r="C85" s="29">
        <f>C82-C83-C84-0</f>
        <v/>
      </c>
      <c r="D85" s="29">
        <f>D82-D83-D84-C87</f>
        <v/>
      </c>
      <c r="E85" s="29">
        <f>E82-E83-E84-D87</f>
        <v/>
      </c>
      <c r="F85" s="29">
        <f>F82-F83-F84-E87</f>
        <v/>
      </c>
      <c r="G85" s="29">
        <f>G82-G83-G84-F87</f>
        <v/>
      </c>
    </row>
    <row r="86">
      <c r="A86" s="6" t="inlineStr">
        <is>
          <t>Policy capex (share of surplus, if positive)</t>
        </is>
      </c>
      <c r="B86" s="2" t="inlineStr">
        <is>
          <t>$</t>
        </is>
      </c>
      <c r="C86" s="29">
        <f>IF(AND(1&gt;=Inputs!$B$27,C85&gt;0),Inputs!$B$26*C85,0)</f>
        <v/>
      </c>
      <c r="D86" s="29">
        <f>IF(AND(2&gt;=Inputs!$B$27,D85&gt;0),Inputs!$B$26*D85,0)</f>
        <v/>
      </c>
      <c r="E86" s="29">
        <f>IF(AND(3&gt;=Inputs!$B$27,E85&gt;0),Inputs!$B$26*E85,0)</f>
        <v/>
      </c>
      <c r="F86" s="29">
        <f>IF(AND(4&gt;=Inputs!$B$27,F85&gt;0),Inputs!$B$26*F85,0)</f>
        <v/>
      </c>
      <c r="G86" s="29">
        <f>IF(AND(5&gt;=Inputs!$B$27,G85&gt;0),Inputs!$B$26*G85,0)</f>
        <v/>
      </c>
    </row>
    <row r="87">
      <c r="A87" s="6" t="inlineStr">
        <is>
          <t>Cumulative policy depreciation</t>
        </is>
      </c>
      <c r="B87" s="2" t="inlineStr">
        <is>
          <t>$</t>
        </is>
      </c>
      <c r="C87" s="29">
        <f>0+C86/Inputs!$B$28</f>
        <v/>
      </c>
      <c r="D87" s="29">
        <f>C87+D86/Inputs!$B$28</f>
        <v/>
      </c>
      <c r="E87" s="29">
        <f>D87+E86/Inputs!$B$28</f>
        <v/>
      </c>
      <c r="F87" s="29">
        <f>E87+F86/Inputs!$B$28</f>
        <v/>
      </c>
      <c r="G87" s="29">
        <f>F87+G86/Inputs!$B$28</f>
        <v/>
      </c>
    </row>
    <row r="88">
      <c r="A88" s="31" t="inlineStr">
        <is>
          <t>Operating surplus (Finance 2.5 basis)</t>
        </is>
      </c>
      <c r="B88" s="32" t="inlineStr">
        <is>
          <t>$</t>
        </is>
      </c>
      <c r="C88" s="33">
        <f>C85-C86/Inputs!$B$28</f>
        <v/>
      </c>
      <c r="D88" s="33">
        <f>D85-D86/Inputs!$B$28</f>
        <v/>
      </c>
      <c r="E88" s="33">
        <f>E85-E86/Inputs!$B$28</f>
        <v/>
      </c>
      <c r="F88" s="33">
        <f>F85-F86/Inputs!$B$28</f>
        <v/>
      </c>
      <c r="G88" s="33">
        <f>G85-G86/Inputs!$B$28</f>
        <v/>
      </c>
    </row>
    <row r="89">
      <c r="A89" s="6" t="inlineStr">
        <is>
          <t>Reinvestment capex paid in cash</t>
        </is>
      </c>
      <c r="B89" s="2" t="inlineStr">
        <is>
          <t>$</t>
        </is>
      </c>
      <c r="C89" s="29">
        <f>IF(1=3,Inputs!$B$22+Inputs!$B$23,0)+C86</f>
        <v/>
      </c>
      <c r="D89" s="29">
        <f>IF(2=3,Inputs!$B$22+Inputs!$B$23,0)+D86</f>
        <v/>
      </c>
      <c r="E89" s="29">
        <f>IF(3=3,Inputs!$B$22+Inputs!$B$23,0)+E86</f>
        <v/>
      </c>
      <c r="F89" s="29">
        <f>IF(4=3,Inputs!$B$22+Inputs!$B$23,0)+F86</f>
        <v/>
      </c>
      <c r="G89" s="29">
        <f>IF(5=3,Inputs!$B$22+Inputs!$B$23,0)+G86</f>
        <v/>
      </c>
    </row>
    <row r="91">
      <c r="A91" s="27" t="inlineStr">
        <is>
          <t>High</t>
        </is>
      </c>
      <c r="B91" s="27" t="inlineStr">
        <is>
          <t>Unit</t>
        </is>
      </c>
      <c r="C91" s="28" t="inlineStr">
        <is>
          <t>Year 1</t>
        </is>
      </c>
      <c r="D91" s="28" t="inlineStr">
        <is>
          <t>Year 2</t>
        </is>
      </c>
      <c r="E91" s="28" t="inlineStr">
        <is>
          <t>Year 3</t>
        </is>
      </c>
      <c r="F91" s="28" t="inlineStr">
        <is>
          <t>Year 4</t>
        </is>
      </c>
      <c r="G91" s="28" t="inlineStr">
        <is>
          <t>Year 5</t>
        </is>
      </c>
    </row>
    <row r="92">
      <c r="A92" s="6" t="inlineStr">
        <is>
          <t>School student-days</t>
        </is>
      </c>
      <c r="B92" s="2" t="inlineStr">
        <is>
          <t>student-days</t>
        </is>
      </c>
      <c r="C92" s="24" t="n">
        <v>0</v>
      </c>
      <c r="D92" s="24">
        <f>Inputs!D$56*Inputs!$C$44</f>
        <v/>
      </c>
      <c r="E92" s="24">
        <f>D92*(1+Inputs!$D$38)</f>
        <v/>
      </c>
      <c r="F92" s="24">
        <f>E92*(1+Inputs!$D$38)</f>
        <v/>
      </c>
      <c r="G92" s="24">
        <f>F92*(1+Inputs!$D$38)</f>
        <v/>
      </c>
    </row>
    <row r="93">
      <c r="A93" s="6" t="inlineStr">
        <is>
          <t>Occupancy (% of capacity)</t>
        </is>
      </c>
      <c r="B93" s="2" t="inlineStr">
        <is>
          <t>%</t>
        </is>
      </c>
      <c r="C93" s="25">
        <f>C92/Inputs!$B$21</f>
        <v/>
      </c>
      <c r="D93" s="25">
        <f>D92/Inputs!$B$21</f>
        <v/>
      </c>
      <c r="E93" s="25">
        <f>E92/Inputs!$B$21</f>
        <v/>
      </c>
      <c r="F93" s="25">
        <f>F92/Inputs!$B$21</f>
        <v/>
      </c>
      <c r="G93" s="25">
        <f>G92/Inputs!$B$21</f>
        <v/>
      </c>
    </row>
    <row r="94">
      <c r="A94" s="6" t="inlineStr">
        <is>
          <t>Day-program student-days</t>
        </is>
      </c>
      <c r="B94" s="2" t="inlineStr">
        <is>
          <t>student-days</t>
        </is>
      </c>
      <c r="C94" s="24">
        <f>C92*Inputs!C$57</f>
        <v/>
      </c>
      <c r="D94" s="24">
        <f>D92*Inputs!D$57</f>
        <v/>
      </c>
      <c r="E94" s="24">
        <f>E92*Inputs!E$57</f>
        <v/>
      </c>
      <c r="F94" s="24">
        <f>F92*Inputs!F$57</f>
        <v/>
      </c>
      <c r="G94" s="24">
        <f>G92*Inputs!G$57</f>
        <v/>
      </c>
    </row>
    <row r="95">
      <c r="A95" s="6" t="inlineStr">
        <is>
          <t>Residential student-days</t>
        </is>
      </c>
      <c r="B95" s="2" t="inlineStr">
        <is>
          <t>student-days</t>
        </is>
      </c>
      <c r="C95" s="24">
        <f>C92-C94</f>
        <v/>
      </c>
      <c r="D95" s="24">
        <f>D92-D94</f>
        <v/>
      </c>
      <c r="E95" s="24">
        <f>E92-E94</f>
        <v/>
      </c>
      <c r="F95" s="24">
        <f>F92-F94</f>
        <v/>
      </c>
      <c r="G95" s="24">
        <f>G92-G94</f>
        <v/>
      </c>
    </row>
    <row r="96">
      <c r="A96" s="6" t="inlineStr">
        <is>
          <t>Residential student-nights</t>
        </is>
      </c>
      <c r="B96" s="2" t="inlineStr">
        <is>
          <t>student-nights</t>
        </is>
      </c>
      <c r="C96" s="24">
        <f>C95*Inputs!$B$13</f>
        <v/>
      </c>
      <c r="D96" s="24">
        <f>D95*Inputs!$B$13</f>
        <v/>
      </c>
      <c r="E96" s="24">
        <f>E95*Inputs!$B$13</f>
        <v/>
      </c>
      <c r="F96" s="24">
        <f>F95*Inputs!$B$13</f>
        <v/>
      </c>
      <c r="G96" s="24">
        <f>G95*Inputs!$B$13</f>
        <v/>
      </c>
    </row>
    <row r="97">
      <c r="A97" s="6" t="inlineStr">
        <is>
          <t>Program days (cycles)</t>
        </is>
      </c>
      <c r="B97" s="2" t="inlineStr">
        <is>
          <t>days</t>
        </is>
      </c>
      <c r="C97" s="26">
        <f>IF(Inputs!C$58=0,0,C92/Inputs!C$58)</f>
        <v/>
      </c>
      <c r="D97" s="26">
        <f>IF(Inputs!D$58=0,0,D92/Inputs!D$58)</f>
        <v/>
      </c>
      <c r="E97" s="26">
        <f>IF(Inputs!E$58=0,0,E92/Inputs!E$58)</f>
        <v/>
      </c>
      <c r="F97" s="26">
        <f>IF(Inputs!F$58=0,0,F92/Inputs!F$58)</f>
        <v/>
      </c>
      <c r="G97" s="26">
        <f>IF(Inputs!G$58=0,0,G92/Inputs!G$58)</f>
        <v/>
      </c>
    </row>
    <row r="98">
      <c r="A98" s="6" t="inlineStr">
        <is>
          <t>School revenue</t>
        </is>
      </c>
      <c r="B98" s="2" t="inlineStr">
        <is>
          <t>$</t>
        </is>
      </c>
      <c r="C98" s="29">
        <f>C94*Inputs!$B$4+C96*Inputs!$B$5</f>
        <v/>
      </c>
      <c r="D98" s="29">
        <f>D94*Inputs!$B$4+D96*Inputs!$B$5</f>
        <v/>
      </c>
      <c r="E98" s="29">
        <f>E94*Inputs!$B$4+E96*Inputs!$B$5</f>
        <v/>
      </c>
      <c r="F98" s="29">
        <f>F94*Inputs!$B$4+F96*Inputs!$B$5</f>
        <v/>
      </c>
      <c r="G98" s="29">
        <f>G94*Inputs!$B$4+G96*Inputs!$B$5</f>
        <v/>
      </c>
    </row>
    <row r="99">
      <c r="A99" s="6" t="inlineStr">
        <is>
          <t>Dry-hire revenue</t>
        </is>
      </c>
      <c r="B99" s="2" t="inlineStr">
        <is>
          <t>$</t>
        </is>
      </c>
      <c r="C99" s="29">
        <f>Inputs!C$51*Inputs!$B$6</f>
        <v/>
      </c>
      <c r="D99" s="29">
        <f>Inputs!D$51*Inputs!$B$6</f>
        <v/>
      </c>
      <c r="E99" s="29">
        <f>Inputs!E$51*Inputs!$B$6</f>
        <v/>
      </c>
      <c r="F99" s="29">
        <f>Inputs!F$51*Inputs!$B$6</f>
        <v/>
      </c>
      <c r="G99" s="29">
        <f>Inputs!G$51*Inputs!$B$6</f>
        <v/>
      </c>
    </row>
    <row r="100">
      <c r="A100" s="6" t="inlineStr">
        <is>
          <t>Wet-hire revenue</t>
        </is>
      </c>
      <c r="B100" s="2" t="inlineStr">
        <is>
          <t>$</t>
        </is>
      </c>
      <c r="C100" s="29">
        <f>Inputs!C$52*Inputs!$B$7</f>
        <v/>
      </c>
      <c r="D100" s="29">
        <f>Inputs!D$52*Inputs!$B$7</f>
        <v/>
      </c>
      <c r="E100" s="29">
        <f>Inputs!E$52*Inputs!$B$7</f>
        <v/>
      </c>
      <c r="F100" s="29">
        <f>Inputs!F$52*Inputs!$B$7</f>
        <v/>
      </c>
      <c r="G100" s="29">
        <f>Inputs!G$52*Inputs!$B$7</f>
        <v/>
      </c>
    </row>
    <row r="101">
      <c r="A101" s="11" t="inlineStr">
        <is>
          <t>Total revenue</t>
        </is>
      </c>
      <c r="B101" s="2" t="inlineStr">
        <is>
          <t>$</t>
        </is>
      </c>
      <c r="C101" s="30">
        <f>C98+C99+C100</f>
        <v/>
      </c>
      <c r="D101" s="30">
        <f>D98+D99+D100</f>
        <v/>
      </c>
      <c r="E101" s="30">
        <f>E98+E99+E100</f>
        <v/>
      </c>
      <c r="F101" s="30">
        <f>F98+F99+F100</f>
        <v/>
      </c>
      <c r="G101" s="30">
        <f>G98+G99+G100</f>
        <v/>
      </c>
    </row>
    <row r="102">
      <c r="A102" s="6" t="inlineStr">
        <is>
          <t>Fixed cash costs (core staff + other fixed)</t>
        </is>
      </c>
      <c r="B102" s="2" t="inlineStr">
        <is>
          <t>$</t>
        </is>
      </c>
      <c r="C102" s="29">
        <f>Inputs!C$53+Inputs!C$54</f>
        <v/>
      </c>
      <c r="D102" s="29">
        <f>Inputs!D$53+Inputs!D$54</f>
        <v/>
      </c>
      <c r="E102" s="29">
        <f>Inputs!E$53+Inputs!E$54</f>
        <v/>
      </c>
      <c r="F102" s="29">
        <f>Inputs!F$53+Inputs!F$54</f>
        <v/>
      </c>
      <c r="G102" s="29">
        <f>Inputs!G$53+Inputs!G$54</f>
        <v/>
      </c>
    </row>
    <row r="103">
      <c r="A103" s="6" t="inlineStr">
        <is>
          <t>Program contractors</t>
        </is>
      </c>
      <c r="B103" s="2" t="inlineStr">
        <is>
          <t>$</t>
        </is>
      </c>
      <c r="C103" s="29">
        <f>C97*Inputs!$B$9</f>
        <v/>
      </c>
      <c r="D103" s="29">
        <f>D97*Inputs!$B$9</f>
        <v/>
      </c>
      <c r="E103" s="29">
        <f>E97*Inputs!$B$9</f>
        <v/>
      </c>
      <c r="F103" s="29">
        <f>F97*Inputs!$B$9</f>
        <v/>
      </c>
      <c r="G103" s="29">
        <f>G97*Inputs!$B$9</f>
        <v/>
      </c>
    </row>
    <row r="104">
      <c r="A104" s="6" t="inlineStr">
        <is>
          <t>Catering</t>
        </is>
      </c>
      <c r="B104" s="2" t="inlineStr">
        <is>
          <t>$</t>
        </is>
      </c>
      <c r="C104" s="29">
        <f>C96*Inputs!$B$10</f>
        <v/>
      </c>
      <c r="D104" s="29">
        <f>D96*Inputs!$B$10</f>
        <v/>
      </c>
      <c r="E104" s="29">
        <f>E96*Inputs!$B$10</f>
        <v/>
      </c>
      <c r="F104" s="29">
        <f>F96*Inputs!$B$10</f>
        <v/>
      </c>
      <c r="G104" s="29">
        <f>G96*Inputs!$B$10</f>
        <v/>
      </c>
    </row>
    <row r="105">
      <c r="A105" s="6" t="inlineStr">
        <is>
          <t>Program supplies</t>
        </is>
      </c>
      <c r="B105" s="2" t="inlineStr">
        <is>
          <t>$</t>
        </is>
      </c>
      <c r="C105" s="29">
        <f>C92*Inputs!$B$11</f>
        <v/>
      </c>
      <c r="D105" s="29">
        <f>D92*Inputs!$B$11</f>
        <v/>
      </c>
      <c r="E105" s="29">
        <f>E92*Inputs!$B$11</f>
        <v/>
      </c>
      <c r="F105" s="29">
        <f>F92*Inputs!$B$11</f>
        <v/>
      </c>
      <c r="G105" s="29">
        <f>G92*Inputs!$B$11</f>
        <v/>
      </c>
    </row>
    <row r="106">
      <c r="A106" s="6" t="inlineStr">
        <is>
          <t>Payment fees</t>
        </is>
      </c>
      <c r="B106" s="2" t="inlineStr">
        <is>
          <t>$</t>
        </is>
      </c>
      <c r="C106" s="29">
        <f>C101*Inputs!$B$12</f>
        <v/>
      </c>
      <c r="D106" s="29">
        <f>D101*Inputs!$B$12</f>
        <v/>
      </c>
      <c r="E106" s="29">
        <f>E101*Inputs!$B$12</f>
        <v/>
      </c>
      <c r="F106" s="29">
        <f>F101*Inputs!$B$12</f>
        <v/>
      </c>
      <c r="G106" s="29">
        <f>G101*Inputs!$B$12</f>
        <v/>
      </c>
    </row>
    <row r="107">
      <c r="A107" s="6" t="inlineStr">
        <is>
          <t>Wet-hire event services</t>
        </is>
      </c>
      <c r="B107" s="2" t="inlineStr">
        <is>
          <t>$</t>
        </is>
      </c>
      <c r="C107" s="29">
        <f>Inputs!C$52*Inputs!$B$8</f>
        <v/>
      </c>
      <c r="D107" s="29">
        <f>Inputs!D$52*Inputs!$B$8</f>
        <v/>
      </c>
      <c r="E107" s="29">
        <f>Inputs!E$52*Inputs!$B$8</f>
        <v/>
      </c>
      <c r="F107" s="29">
        <f>Inputs!F$52*Inputs!$B$8</f>
        <v/>
      </c>
      <c r="G107" s="29">
        <f>Inputs!G$52*Inputs!$B$8</f>
        <v/>
      </c>
    </row>
    <row r="108">
      <c r="A108" s="11" t="inlineStr">
        <is>
          <t>Total operating costs (cash)</t>
        </is>
      </c>
      <c r="B108" s="2" t="inlineStr">
        <is>
          <t>$</t>
        </is>
      </c>
      <c r="C108" s="30">
        <f>C102+SUM(C103:C107)</f>
        <v/>
      </c>
      <c r="D108" s="30">
        <f>D102+SUM(D103:D107)</f>
        <v/>
      </c>
      <c r="E108" s="30">
        <f>E102+SUM(E103:E107)</f>
        <v/>
      </c>
      <c r="F108" s="30">
        <f>F102+SUM(F103:F107)</f>
        <v/>
      </c>
      <c r="G108" s="30">
        <f>G102+SUM(G103:G107)</f>
        <v/>
      </c>
    </row>
    <row r="109">
      <c r="A109" s="11" t="inlineStr">
        <is>
          <t>Operating surplus before depreciation</t>
        </is>
      </c>
      <c r="B109" s="2" t="inlineStr">
        <is>
          <t>$</t>
        </is>
      </c>
      <c r="C109" s="30">
        <f>C101-C108</f>
        <v/>
      </c>
      <c r="D109" s="30">
        <f>D101-D108</f>
        <v/>
      </c>
      <c r="E109" s="30">
        <f>E101-E108</f>
        <v/>
      </c>
      <c r="F109" s="30">
        <f>F101-F108</f>
        <v/>
      </c>
      <c r="G109" s="30">
        <f>G101-G108</f>
        <v/>
      </c>
    </row>
    <row r="110">
      <c r="A110" s="6" t="inlineStr">
        <is>
          <t>Depreciation</t>
        </is>
      </c>
      <c r="B110" s="2" t="inlineStr">
        <is>
          <t>$</t>
        </is>
      </c>
      <c r="C110" s="10">
        <f>Inputs!C$55</f>
        <v/>
      </c>
      <c r="D110" s="10">
        <f>Inputs!D$55</f>
        <v/>
      </c>
      <c r="E110" s="10">
        <f>Inputs!E$55</f>
        <v/>
      </c>
      <c r="F110" s="10">
        <f>Inputs!F$55</f>
        <v/>
      </c>
      <c r="G110" s="10">
        <f>Inputs!G$55</f>
        <v/>
      </c>
    </row>
    <row r="111">
      <c r="A111" s="6" t="inlineStr">
        <is>
          <t>Surplus after depreciation (2.4 basis, before reinvestment layer)</t>
        </is>
      </c>
      <c r="B111" s="2" t="inlineStr">
        <is>
          <t>$</t>
        </is>
      </c>
      <c r="C111" s="29">
        <f>C109-C110</f>
        <v/>
      </c>
      <c r="D111" s="29">
        <f>D109-D110</f>
        <v/>
      </c>
      <c r="E111" s="29">
        <f>E109-E110</f>
        <v/>
      </c>
      <c r="F111" s="29">
        <f>F109-F110</f>
        <v/>
      </c>
      <c r="G111" s="29">
        <f>G109-G110</f>
        <v/>
      </c>
    </row>
    <row r="112">
      <c r="A112" s="6" t="inlineStr">
        <is>
          <t>Restoration depreciation (Year 3 onward)</t>
        </is>
      </c>
      <c r="B112" s="2" t="inlineStr">
        <is>
          <t>$</t>
        </is>
      </c>
      <c r="C112" s="29">
        <f>IF(1&gt;=3,Inputs!$B$23/Inputs!$B$24,0)</f>
        <v/>
      </c>
      <c r="D112" s="29">
        <f>IF(2&gt;=3,Inputs!$B$23/Inputs!$B$24,0)</f>
        <v/>
      </c>
      <c r="E112" s="29">
        <f>IF(3&gt;=3,Inputs!$B$23/Inputs!$B$24,0)</f>
        <v/>
      </c>
      <c r="F112" s="29">
        <f>IF(4&gt;=3,Inputs!$B$23/Inputs!$B$24,0)</f>
        <v/>
      </c>
      <c r="G112" s="29">
        <f>IF(5&gt;=3,Inputs!$B$23/Inputs!$B$24,0)</f>
        <v/>
      </c>
    </row>
    <row r="113">
      <c r="A113" s="6" t="inlineStr">
        <is>
          <t>Conservation management plan (Year 3, expensed)</t>
        </is>
      </c>
      <c r="B113" s="2" t="inlineStr">
        <is>
          <t>$</t>
        </is>
      </c>
      <c r="C113" s="29">
        <f>IF(1=3,Inputs!$B$25,0)</f>
        <v/>
      </c>
      <c r="D113" s="29">
        <f>IF(2=3,Inputs!$B$25,0)</f>
        <v/>
      </c>
      <c r="E113" s="29">
        <f>IF(3=3,Inputs!$B$25,0)</f>
        <v/>
      </c>
      <c r="F113" s="29">
        <f>IF(4=3,Inputs!$B$25,0)</f>
        <v/>
      </c>
      <c r="G113" s="29">
        <f>IF(5=3,Inputs!$B$25,0)</f>
        <v/>
      </c>
    </row>
    <row r="114">
      <c r="A114" s="6" t="inlineStr">
        <is>
          <t>Surplus before reinvestment-policy capex</t>
        </is>
      </c>
      <c r="B114" s="2" t="inlineStr">
        <is>
          <t>$</t>
        </is>
      </c>
      <c r="C114" s="29">
        <f>C111-C112-C113-0</f>
        <v/>
      </c>
      <c r="D114" s="29">
        <f>D111-D112-D113-C116</f>
        <v/>
      </c>
      <c r="E114" s="29">
        <f>E111-E112-E113-D116</f>
        <v/>
      </c>
      <c r="F114" s="29">
        <f>F111-F112-F113-E116</f>
        <v/>
      </c>
      <c r="G114" s="29">
        <f>G111-G112-G113-F116</f>
        <v/>
      </c>
    </row>
    <row r="115">
      <c r="A115" s="6" t="inlineStr">
        <is>
          <t>Policy capex (share of surplus, if positive)</t>
        </is>
      </c>
      <c r="B115" s="2" t="inlineStr">
        <is>
          <t>$</t>
        </is>
      </c>
      <c r="C115" s="29">
        <f>IF(AND(1&gt;=Inputs!$B$27,C114&gt;0),Inputs!$B$26*C114,0)</f>
        <v/>
      </c>
      <c r="D115" s="29">
        <f>IF(AND(2&gt;=Inputs!$B$27,D114&gt;0),Inputs!$B$26*D114,0)</f>
        <v/>
      </c>
      <c r="E115" s="29">
        <f>IF(AND(3&gt;=Inputs!$B$27,E114&gt;0),Inputs!$B$26*E114,0)</f>
        <v/>
      </c>
      <c r="F115" s="29">
        <f>IF(AND(4&gt;=Inputs!$B$27,F114&gt;0),Inputs!$B$26*F114,0)</f>
        <v/>
      </c>
      <c r="G115" s="29">
        <f>IF(AND(5&gt;=Inputs!$B$27,G114&gt;0),Inputs!$B$26*G114,0)</f>
        <v/>
      </c>
    </row>
    <row r="116">
      <c r="A116" s="6" t="inlineStr">
        <is>
          <t>Cumulative policy depreciation</t>
        </is>
      </c>
      <c r="B116" s="2" t="inlineStr">
        <is>
          <t>$</t>
        </is>
      </c>
      <c r="C116" s="29">
        <f>0+C115/Inputs!$B$28</f>
        <v/>
      </c>
      <c r="D116" s="29">
        <f>C116+D115/Inputs!$B$28</f>
        <v/>
      </c>
      <c r="E116" s="29">
        <f>D116+E115/Inputs!$B$28</f>
        <v/>
      </c>
      <c r="F116" s="29">
        <f>E116+F115/Inputs!$B$28</f>
        <v/>
      </c>
      <c r="G116" s="29">
        <f>F116+G115/Inputs!$B$28</f>
        <v/>
      </c>
    </row>
    <row r="117">
      <c r="A117" s="31" t="inlineStr">
        <is>
          <t>Operating surplus (Finance 2.5 basis)</t>
        </is>
      </c>
      <c r="B117" s="32" t="inlineStr">
        <is>
          <t>$</t>
        </is>
      </c>
      <c r="C117" s="33">
        <f>C114-C115/Inputs!$B$28</f>
        <v/>
      </c>
      <c r="D117" s="33">
        <f>D114-D115/Inputs!$B$28</f>
        <v/>
      </c>
      <c r="E117" s="33">
        <f>E114-E115/Inputs!$B$28</f>
        <v/>
      </c>
      <c r="F117" s="33">
        <f>F114-F115/Inputs!$B$28</f>
        <v/>
      </c>
      <c r="G117" s="33">
        <f>G114-G115/Inputs!$B$28</f>
        <v/>
      </c>
    </row>
    <row r="118">
      <c r="A118" s="6" t="inlineStr">
        <is>
          <t>Reinvestment capex paid in cash</t>
        </is>
      </c>
      <c r="B118" s="2" t="inlineStr">
        <is>
          <t>$</t>
        </is>
      </c>
      <c r="C118" s="29">
        <f>IF(1=3,Inputs!$B$22+Inputs!$B$23,0)+C115</f>
        <v/>
      </c>
      <c r="D118" s="29">
        <f>IF(2=3,Inputs!$B$22+Inputs!$B$23,0)+D115</f>
        <v/>
      </c>
      <c r="E118" s="29">
        <f>IF(3=3,Inputs!$B$22+Inputs!$B$23,0)+E115</f>
        <v/>
      </c>
      <c r="F118" s="29">
        <f>IF(4=3,Inputs!$B$22+Inputs!$B$23,0)+F115</f>
        <v/>
      </c>
      <c r="G118" s="29">
        <f>IF(5=3,Inputs!$B$22+Inputs!$B$23,0)+G115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RowHeight="15"/>
  <cols>
    <col width="48" customWidth="1" min="1" max="1"/>
    <col width="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Cash flows and return measures</t>
        </is>
      </c>
    </row>
    <row r="2">
      <c r="A2" s="2" t="inlineStr">
        <is>
          <t>Year 0 = capex + set-up. Year 1 = set-up-year operating loss + working capital. Years 2-5 = cash surplus before depreciation, less the Year 3 conservation plan and reinvestment capex. Years 6-10 (used only to date payback) held flat at the Year 5 cash surplus, no further reinvestment. Working capital recovered in Year 10.</t>
        </is>
      </c>
    </row>
    <row r="4">
      <c r="A4" s="27" t="inlineStr">
        <is>
          <t>Low</t>
        </is>
      </c>
      <c r="B4" s="27" t="inlineStr">
        <is>
          <t>Unit</t>
        </is>
      </c>
      <c r="C4" s="28" t="inlineStr">
        <is>
          <t>Year 0</t>
        </is>
      </c>
      <c r="D4" s="28" t="inlineStr">
        <is>
          <t>Year 1</t>
        </is>
      </c>
      <c r="E4" s="28" t="inlineStr">
        <is>
          <t>Year 2</t>
        </is>
      </c>
      <c r="F4" s="28" t="inlineStr">
        <is>
          <t>Year 3</t>
        </is>
      </c>
      <c r="G4" s="28" t="inlineStr">
        <is>
          <t>Year 4</t>
        </is>
      </c>
      <c r="H4" s="28" t="inlineStr">
        <is>
          <t>Year 5</t>
        </is>
      </c>
      <c r="I4" s="28" t="inlineStr">
        <is>
          <t>Year 6</t>
        </is>
      </c>
      <c r="J4" s="28" t="inlineStr">
        <is>
          <t>Year 7</t>
        </is>
      </c>
      <c r="K4" s="28" t="inlineStr">
        <is>
          <t>Year 8</t>
        </is>
      </c>
      <c r="L4" s="28" t="inlineStr">
        <is>
          <t>Year 9</t>
        </is>
      </c>
      <c r="M4" s="28" t="inlineStr">
        <is>
          <t>Year 10</t>
        </is>
      </c>
    </row>
    <row r="5">
      <c r="A5" s="6" t="inlineStr">
        <is>
          <t>Cash flow</t>
        </is>
      </c>
      <c r="B5" s="2" t="inlineStr">
        <is>
          <t>$</t>
        </is>
      </c>
      <c r="C5" s="10">
        <f>-(Inputs!$B$16+Inputs!$B$17)</f>
        <v/>
      </c>
      <c r="D5" s="10">
        <f>Scenarios!C22-Inputs!$B$18-Scenarios!C26-Scenarios!C31</f>
        <v/>
      </c>
      <c r="E5" s="10">
        <f>Scenarios!D22-Scenarios!D26-Scenarios!D31</f>
        <v/>
      </c>
      <c r="F5" s="10">
        <f>Scenarios!E22-Scenarios!E26-Scenarios!E31</f>
        <v/>
      </c>
      <c r="G5" s="10">
        <f>Scenarios!F22-Scenarios!F26-Scenarios!F31</f>
        <v/>
      </c>
      <c r="H5" s="10">
        <f>Scenarios!G22-Scenarios!G26-Scenarios!G31</f>
        <v/>
      </c>
      <c r="I5" s="10">
        <f>Scenarios!G22</f>
        <v/>
      </c>
      <c r="J5" s="10">
        <f>Scenarios!G22</f>
        <v/>
      </c>
      <c r="K5" s="10">
        <f>Scenarios!G22</f>
        <v/>
      </c>
      <c r="L5" s="10">
        <f>Scenarios!G22</f>
        <v/>
      </c>
      <c r="M5" s="10">
        <f>Scenarios!G22+Inputs!$B$18</f>
        <v/>
      </c>
    </row>
    <row r="6">
      <c r="A6" s="6" t="inlineStr">
        <is>
          <t>Cumulative cash flow</t>
        </is>
      </c>
      <c r="B6" s="2" t="inlineStr">
        <is>
          <t>$</t>
        </is>
      </c>
      <c r="C6" s="29">
        <f>C5</f>
        <v/>
      </c>
      <c r="D6" s="29">
        <f>C6+D5</f>
        <v/>
      </c>
      <c r="E6" s="29">
        <f>D6+E5</f>
        <v/>
      </c>
      <c r="F6" s="29">
        <f>E6+F5</f>
        <v/>
      </c>
      <c r="G6" s="29">
        <f>F6+G5</f>
        <v/>
      </c>
      <c r="H6" s="29">
        <f>G6+H5</f>
        <v/>
      </c>
      <c r="I6" s="29">
        <f>H6+I5</f>
        <v/>
      </c>
      <c r="J6" s="29">
        <f>I6+J5</f>
        <v/>
      </c>
      <c r="K6" s="29">
        <f>J6+K5</f>
        <v/>
      </c>
      <c r="L6" s="29">
        <f>K6+L5</f>
        <v/>
      </c>
      <c r="M6" s="29">
        <f>L6+M5</f>
        <v/>
      </c>
    </row>
    <row r="7">
      <c r="A7" s="6" t="inlineStr">
        <is>
          <t>Year-end cash balance (endowment less launch spend, plus cash surplus less reinvestment)</t>
        </is>
      </c>
      <c r="B7" s="2" t="inlineStr">
        <is>
          <t>$</t>
        </is>
      </c>
      <c r="C7" s="29">
        <f>Inputs!$B$15-(Inputs!$B$16+Inputs!$B$17)</f>
        <v/>
      </c>
      <c r="D7" s="29">
        <f>C7+Scenarios!C22-Scenarios!C26-Scenarios!C31</f>
        <v/>
      </c>
      <c r="E7" s="29">
        <f>D7+Scenarios!D22-Scenarios!D26-Scenarios!D31</f>
        <v/>
      </c>
      <c r="F7" s="29">
        <f>E7+Scenarios!E22-Scenarios!E26-Scenarios!E31</f>
        <v/>
      </c>
      <c r="G7" s="29">
        <f>F7+Scenarios!F22-Scenarios!F26-Scenarios!F31</f>
        <v/>
      </c>
      <c r="H7" s="29">
        <f>G7+Scenarios!G22-Scenarios!G26-Scenarios!G31</f>
        <v/>
      </c>
    </row>
    <row r="8">
      <c r="A8" s="11" t="inlineStr">
        <is>
          <t>Lowest year-end cash balance, Years 1-5</t>
        </is>
      </c>
      <c r="C8" s="29">
        <f>MIN(D7:H7)</f>
        <v/>
      </c>
    </row>
    <row r="9">
      <c r="A9" s="11" t="inlineStr">
        <is>
          <t>Payback year (first year cumulative cash &gt;= 0)</t>
        </is>
      </c>
      <c r="C9" s="34">
        <f>IF(M6&lt;0,"none within 10 yrs",COUNTIF(C6:M6,"&lt;0"))</f>
        <v/>
      </c>
    </row>
    <row r="11">
      <c r="A11" s="27" t="inlineStr">
        <is>
          <t>Base</t>
        </is>
      </c>
      <c r="B11" s="27" t="inlineStr">
        <is>
          <t>Unit</t>
        </is>
      </c>
      <c r="C11" s="28" t="inlineStr">
        <is>
          <t>Year 0</t>
        </is>
      </c>
      <c r="D11" s="28" t="inlineStr">
        <is>
          <t>Year 1</t>
        </is>
      </c>
      <c r="E11" s="28" t="inlineStr">
        <is>
          <t>Year 2</t>
        </is>
      </c>
      <c r="F11" s="28" t="inlineStr">
        <is>
          <t>Year 3</t>
        </is>
      </c>
      <c r="G11" s="28" t="inlineStr">
        <is>
          <t>Year 4</t>
        </is>
      </c>
      <c r="H11" s="28" t="inlineStr">
        <is>
          <t>Year 5</t>
        </is>
      </c>
      <c r="I11" s="28" t="inlineStr">
        <is>
          <t>Year 6</t>
        </is>
      </c>
      <c r="J11" s="28" t="inlineStr">
        <is>
          <t>Year 7</t>
        </is>
      </c>
      <c r="K11" s="28" t="inlineStr">
        <is>
          <t>Year 8</t>
        </is>
      </c>
      <c r="L11" s="28" t="inlineStr">
        <is>
          <t>Year 9</t>
        </is>
      </c>
      <c r="M11" s="28" t="inlineStr">
        <is>
          <t>Year 10</t>
        </is>
      </c>
    </row>
    <row r="12">
      <c r="A12" s="6" t="inlineStr">
        <is>
          <t>Cash flow</t>
        </is>
      </c>
      <c r="B12" s="2" t="inlineStr">
        <is>
          <t>$</t>
        </is>
      </c>
      <c r="C12" s="10">
        <f>-(Inputs!$B$16+Inputs!$B$17)</f>
        <v/>
      </c>
      <c r="D12" s="10">
        <f>Scenarios!C51-Inputs!$B$18-Scenarios!C55-Scenarios!C60</f>
        <v/>
      </c>
      <c r="E12" s="10">
        <f>Scenarios!D51-Scenarios!D55-Scenarios!D60</f>
        <v/>
      </c>
      <c r="F12" s="10">
        <f>Scenarios!E51-Scenarios!E55-Scenarios!E60</f>
        <v/>
      </c>
      <c r="G12" s="10">
        <f>Scenarios!F51-Scenarios!F55-Scenarios!F60</f>
        <v/>
      </c>
      <c r="H12" s="10">
        <f>Scenarios!G51-Scenarios!G55-Scenarios!G60</f>
        <v/>
      </c>
      <c r="I12" s="10">
        <f>Scenarios!G51</f>
        <v/>
      </c>
      <c r="J12" s="10">
        <f>Scenarios!G51</f>
        <v/>
      </c>
      <c r="K12" s="10">
        <f>Scenarios!G51</f>
        <v/>
      </c>
      <c r="L12" s="10">
        <f>Scenarios!G51</f>
        <v/>
      </c>
      <c r="M12" s="10">
        <f>Scenarios!G51+Inputs!$B$18</f>
        <v/>
      </c>
    </row>
    <row r="13">
      <c r="A13" s="6" t="inlineStr">
        <is>
          <t>Cumulative cash flow</t>
        </is>
      </c>
      <c r="B13" s="2" t="inlineStr">
        <is>
          <t>$</t>
        </is>
      </c>
      <c r="C13" s="29">
        <f>C12</f>
        <v/>
      </c>
      <c r="D13" s="29">
        <f>C13+D12</f>
        <v/>
      </c>
      <c r="E13" s="29">
        <f>D13+E12</f>
        <v/>
      </c>
      <c r="F13" s="29">
        <f>E13+F12</f>
        <v/>
      </c>
      <c r="G13" s="29">
        <f>F13+G12</f>
        <v/>
      </c>
      <c r="H13" s="29">
        <f>G13+H12</f>
        <v/>
      </c>
      <c r="I13" s="29">
        <f>H13+I12</f>
        <v/>
      </c>
      <c r="J13" s="29">
        <f>I13+J12</f>
        <v/>
      </c>
      <c r="K13" s="29">
        <f>J13+K12</f>
        <v/>
      </c>
      <c r="L13" s="29">
        <f>K13+L12</f>
        <v/>
      </c>
      <c r="M13" s="29">
        <f>L13+M12</f>
        <v/>
      </c>
    </row>
    <row r="14">
      <c r="A14" s="6" t="inlineStr">
        <is>
          <t>Year-end cash balance (endowment less launch spend, plus cash surplus less reinvestment)</t>
        </is>
      </c>
      <c r="B14" s="2" t="inlineStr">
        <is>
          <t>$</t>
        </is>
      </c>
      <c r="C14" s="29">
        <f>Inputs!$B$15-(Inputs!$B$16+Inputs!$B$17)</f>
        <v/>
      </c>
      <c r="D14" s="29">
        <f>C14+Scenarios!C51-Scenarios!C55-Scenarios!C60</f>
        <v/>
      </c>
      <c r="E14" s="29">
        <f>D14+Scenarios!D51-Scenarios!D55-Scenarios!D60</f>
        <v/>
      </c>
      <c r="F14" s="29">
        <f>E14+Scenarios!E51-Scenarios!E55-Scenarios!E60</f>
        <v/>
      </c>
      <c r="G14" s="29">
        <f>F14+Scenarios!F51-Scenarios!F55-Scenarios!F60</f>
        <v/>
      </c>
      <c r="H14" s="29">
        <f>G14+Scenarios!G51-Scenarios!G55-Scenarios!G60</f>
        <v/>
      </c>
    </row>
    <row r="15">
      <c r="A15" s="11" t="inlineStr">
        <is>
          <t>Lowest year-end cash balance, Years 1-5</t>
        </is>
      </c>
      <c r="C15" s="29">
        <f>MIN(D14:H14)</f>
        <v/>
      </c>
    </row>
    <row r="16">
      <c r="A16" s="11" t="inlineStr">
        <is>
          <t>Payback year (first year cumulative cash &gt;= 0)</t>
        </is>
      </c>
      <c r="C16" s="34">
        <f>IF(M13&lt;0,"none within 10 yrs",COUNTIF(C13:M13,"&lt;0"))</f>
        <v/>
      </c>
    </row>
    <row r="18">
      <c r="A18" s="27" t="inlineStr">
        <is>
          <t>Finance plan</t>
        </is>
      </c>
      <c r="B18" s="27" t="inlineStr">
        <is>
          <t>Unit</t>
        </is>
      </c>
      <c r="C18" s="28" t="inlineStr">
        <is>
          <t>Year 0</t>
        </is>
      </c>
      <c r="D18" s="28" t="inlineStr">
        <is>
          <t>Year 1</t>
        </is>
      </c>
      <c r="E18" s="28" t="inlineStr">
        <is>
          <t>Year 2</t>
        </is>
      </c>
      <c r="F18" s="28" t="inlineStr">
        <is>
          <t>Year 3</t>
        </is>
      </c>
      <c r="G18" s="28" t="inlineStr">
        <is>
          <t>Year 4</t>
        </is>
      </c>
      <c r="H18" s="28" t="inlineStr">
        <is>
          <t>Year 5</t>
        </is>
      </c>
      <c r="I18" s="28" t="inlineStr">
        <is>
          <t>Year 6</t>
        </is>
      </c>
      <c r="J18" s="28" t="inlineStr">
        <is>
          <t>Year 7</t>
        </is>
      </c>
      <c r="K18" s="28" t="inlineStr">
        <is>
          <t>Year 8</t>
        </is>
      </c>
      <c r="L18" s="28" t="inlineStr">
        <is>
          <t>Year 9</t>
        </is>
      </c>
      <c r="M18" s="28" t="inlineStr">
        <is>
          <t>Year 10</t>
        </is>
      </c>
    </row>
    <row r="19">
      <c r="A19" s="6" t="inlineStr">
        <is>
          <t>Cash flow</t>
        </is>
      </c>
      <c r="B19" s="2" t="inlineStr">
        <is>
          <t>$</t>
        </is>
      </c>
      <c r="C19" s="10">
        <f>-(Inputs!$B$16+Inputs!$B$17)</f>
        <v/>
      </c>
      <c r="D19" s="10">
        <f>Scenarios!C80-Inputs!$B$18-Scenarios!C84-Scenarios!C89</f>
        <v/>
      </c>
      <c r="E19" s="10">
        <f>Scenarios!D80-Scenarios!D84-Scenarios!D89</f>
        <v/>
      </c>
      <c r="F19" s="10">
        <f>Scenarios!E80-Scenarios!E84-Scenarios!E89</f>
        <v/>
      </c>
      <c r="G19" s="10">
        <f>Scenarios!F80-Scenarios!F84-Scenarios!F89</f>
        <v/>
      </c>
      <c r="H19" s="10">
        <f>Scenarios!G80-Scenarios!G84-Scenarios!G89</f>
        <v/>
      </c>
      <c r="I19" s="10">
        <f>Scenarios!G80</f>
        <v/>
      </c>
      <c r="J19" s="10">
        <f>Scenarios!G80</f>
        <v/>
      </c>
      <c r="K19" s="10">
        <f>Scenarios!G80</f>
        <v/>
      </c>
      <c r="L19" s="10">
        <f>Scenarios!G80</f>
        <v/>
      </c>
      <c r="M19" s="10">
        <f>Scenarios!G80+Inputs!$B$18</f>
        <v/>
      </c>
    </row>
    <row r="20">
      <c r="A20" s="6" t="inlineStr">
        <is>
          <t>Cumulative cash flow</t>
        </is>
      </c>
      <c r="B20" s="2" t="inlineStr">
        <is>
          <t>$</t>
        </is>
      </c>
      <c r="C20" s="29">
        <f>C19</f>
        <v/>
      </c>
      <c r="D20" s="29">
        <f>C20+D19</f>
        <v/>
      </c>
      <c r="E20" s="29">
        <f>D20+E19</f>
        <v/>
      </c>
      <c r="F20" s="29">
        <f>E20+F19</f>
        <v/>
      </c>
      <c r="G20" s="29">
        <f>F20+G19</f>
        <v/>
      </c>
      <c r="H20" s="29">
        <f>G20+H19</f>
        <v/>
      </c>
      <c r="I20" s="29">
        <f>H20+I19</f>
        <v/>
      </c>
      <c r="J20" s="29">
        <f>I20+J19</f>
        <v/>
      </c>
      <c r="K20" s="29">
        <f>J20+K19</f>
        <v/>
      </c>
      <c r="L20" s="29">
        <f>K20+L19</f>
        <v/>
      </c>
      <c r="M20" s="29">
        <f>L20+M19</f>
        <v/>
      </c>
    </row>
    <row r="21">
      <c r="A21" s="6" t="inlineStr">
        <is>
          <t>Year-end cash balance (endowment less launch spend, plus cash surplus less reinvestment)</t>
        </is>
      </c>
      <c r="B21" s="2" t="inlineStr">
        <is>
          <t>$</t>
        </is>
      </c>
      <c r="C21" s="29">
        <f>Inputs!$B$15-(Inputs!$B$16+Inputs!$B$17)</f>
        <v/>
      </c>
      <c r="D21" s="29">
        <f>C21+Scenarios!C80-Scenarios!C84-Scenarios!C89</f>
        <v/>
      </c>
      <c r="E21" s="29">
        <f>D21+Scenarios!D80-Scenarios!D84-Scenarios!D89</f>
        <v/>
      </c>
      <c r="F21" s="29">
        <f>E21+Scenarios!E80-Scenarios!E84-Scenarios!E89</f>
        <v/>
      </c>
      <c r="G21" s="29">
        <f>F21+Scenarios!F80-Scenarios!F84-Scenarios!F89</f>
        <v/>
      </c>
      <c r="H21" s="29">
        <f>G21+Scenarios!G80-Scenarios!G84-Scenarios!G89</f>
        <v/>
      </c>
    </row>
    <row r="22">
      <c r="A22" s="11" t="inlineStr">
        <is>
          <t>Lowest year-end cash balance, Years 1-5</t>
        </is>
      </c>
      <c r="C22" s="29">
        <f>MIN(D21:H21)</f>
        <v/>
      </c>
    </row>
    <row r="23">
      <c r="A23" s="11" t="inlineStr">
        <is>
          <t>Payback year (first year cumulative cash &gt;= 0)</t>
        </is>
      </c>
      <c r="C23" s="34">
        <f>IF(M20&lt;0,"none within 10 yrs",COUNTIF(C20:M20,"&lt;0"))</f>
        <v/>
      </c>
    </row>
    <row r="25">
      <c r="A25" s="27" t="inlineStr">
        <is>
          <t>High</t>
        </is>
      </c>
      <c r="B25" s="27" t="inlineStr">
        <is>
          <t>Unit</t>
        </is>
      </c>
      <c r="C25" s="28" t="inlineStr">
        <is>
          <t>Year 0</t>
        </is>
      </c>
      <c r="D25" s="28" t="inlineStr">
        <is>
          <t>Year 1</t>
        </is>
      </c>
      <c r="E25" s="28" t="inlineStr">
        <is>
          <t>Year 2</t>
        </is>
      </c>
      <c r="F25" s="28" t="inlineStr">
        <is>
          <t>Year 3</t>
        </is>
      </c>
      <c r="G25" s="28" t="inlineStr">
        <is>
          <t>Year 4</t>
        </is>
      </c>
      <c r="H25" s="28" t="inlineStr">
        <is>
          <t>Year 5</t>
        </is>
      </c>
      <c r="I25" s="28" t="inlineStr">
        <is>
          <t>Year 6</t>
        </is>
      </c>
      <c r="J25" s="28" t="inlineStr">
        <is>
          <t>Year 7</t>
        </is>
      </c>
      <c r="K25" s="28" t="inlineStr">
        <is>
          <t>Year 8</t>
        </is>
      </c>
      <c r="L25" s="28" t="inlineStr">
        <is>
          <t>Year 9</t>
        </is>
      </c>
      <c r="M25" s="28" t="inlineStr">
        <is>
          <t>Year 10</t>
        </is>
      </c>
    </row>
    <row r="26">
      <c r="A26" s="6" t="inlineStr">
        <is>
          <t>Cash flow</t>
        </is>
      </c>
      <c r="B26" s="2" t="inlineStr">
        <is>
          <t>$</t>
        </is>
      </c>
      <c r="C26" s="10">
        <f>-(Inputs!$B$16+Inputs!$B$17)</f>
        <v/>
      </c>
      <c r="D26" s="10">
        <f>Scenarios!C109-Inputs!$B$18-Scenarios!C113-Scenarios!C118</f>
        <v/>
      </c>
      <c r="E26" s="10">
        <f>Scenarios!D109-Scenarios!D113-Scenarios!D118</f>
        <v/>
      </c>
      <c r="F26" s="10">
        <f>Scenarios!E109-Scenarios!E113-Scenarios!E118</f>
        <v/>
      </c>
      <c r="G26" s="10">
        <f>Scenarios!F109-Scenarios!F113-Scenarios!F118</f>
        <v/>
      </c>
      <c r="H26" s="10">
        <f>Scenarios!G109-Scenarios!G113-Scenarios!G118</f>
        <v/>
      </c>
      <c r="I26" s="10">
        <f>Scenarios!G109</f>
        <v/>
      </c>
      <c r="J26" s="10">
        <f>Scenarios!G109</f>
        <v/>
      </c>
      <c r="K26" s="10">
        <f>Scenarios!G109</f>
        <v/>
      </c>
      <c r="L26" s="10">
        <f>Scenarios!G109</f>
        <v/>
      </c>
      <c r="M26" s="10">
        <f>Scenarios!G109+Inputs!$B$18</f>
        <v/>
      </c>
    </row>
    <row r="27">
      <c r="A27" s="6" t="inlineStr">
        <is>
          <t>Cumulative cash flow</t>
        </is>
      </c>
      <c r="B27" s="2" t="inlineStr">
        <is>
          <t>$</t>
        </is>
      </c>
      <c r="C27" s="29">
        <f>C26</f>
        <v/>
      </c>
      <c r="D27" s="29">
        <f>C27+D26</f>
        <v/>
      </c>
      <c r="E27" s="29">
        <f>D27+E26</f>
        <v/>
      </c>
      <c r="F27" s="29">
        <f>E27+F26</f>
        <v/>
      </c>
      <c r="G27" s="29">
        <f>F27+G26</f>
        <v/>
      </c>
      <c r="H27" s="29">
        <f>G27+H26</f>
        <v/>
      </c>
      <c r="I27" s="29">
        <f>H27+I26</f>
        <v/>
      </c>
      <c r="J27" s="29">
        <f>I27+J26</f>
        <v/>
      </c>
      <c r="K27" s="29">
        <f>J27+K26</f>
        <v/>
      </c>
      <c r="L27" s="29">
        <f>K27+L26</f>
        <v/>
      </c>
      <c r="M27" s="29">
        <f>L27+M26</f>
        <v/>
      </c>
    </row>
    <row r="28">
      <c r="A28" s="6" t="inlineStr">
        <is>
          <t>Year-end cash balance (endowment less launch spend, plus cash surplus less reinvestment)</t>
        </is>
      </c>
      <c r="B28" s="2" t="inlineStr">
        <is>
          <t>$</t>
        </is>
      </c>
      <c r="C28" s="29">
        <f>Inputs!$B$15-(Inputs!$B$16+Inputs!$B$17)</f>
        <v/>
      </c>
      <c r="D28" s="29">
        <f>C28+Scenarios!C109-Scenarios!C113-Scenarios!C118</f>
        <v/>
      </c>
      <c r="E28" s="29">
        <f>D28+Scenarios!D109-Scenarios!D113-Scenarios!D118</f>
        <v/>
      </c>
      <c r="F28" s="29">
        <f>E28+Scenarios!E109-Scenarios!E113-Scenarios!E118</f>
        <v/>
      </c>
      <c r="G28" s="29">
        <f>F28+Scenarios!F109-Scenarios!F113-Scenarios!F118</f>
        <v/>
      </c>
      <c r="H28" s="29">
        <f>G28+Scenarios!G109-Scenarios!G113-Scenarios!G118</f>
        <v/>
      </c>
    </row>
    <row r="29">
      <c r="A29" s="11" t="inlineStr">
        <is>
          <t>Lowest year-end cash balance, Years 1-5</t>
        </is>
      </c>
      <c r="C29" s="29">
        <f>MIN(D28:H28)</f>
        <v/>
      </c>
    </row>
    <row r="30">
      <c r="A30" s="11" t="inlineStr">
        <is>
          <t>Payback year (first year cumulative cash &gt;= 0)</t>
        </is>
      </c>
      <c r="C30" s="34">
        <f>IF(M27&lt;0,"none within 10 yrs",COUNTIF(C27:M27,"&lt;0"))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One-at-a-time sensitivity on the Finance plan (static output from analysis.py)</t>
        </is>
      </c>
    </row>
    <row r="2">
      <c r="A2" s="2" t="inlineStr">
        <is>
          <t>Year 5 surplus after depreciation. Thresholds = multiplier of the plan value at which Year 5 surplus falls to the stated level. "Not reached" = the surplus stays above that level across the tested range.</t>
        </is>
      </c>
    </row>
    <row r="4" ht="44" customHeight="1">
      <c r="A4" s="5" t="inlineStr">
        <is>
          <t>Variable</t>
        </is>
      </c>
      <c r="B4" s="5" t="inlineStr">
        <is>
          <t>Adverse multiplier</t>
        </is>
      </c>
      <c r="C4" s="5" t="inlineStr">
        <is>
          <t>Favourable multiplier</t>
        </is>
      </c>
      <c r="D4" s="5" t="inlineStr">
        <is>
          <t>Y5 surplus (adverse)</t>
        </is>
      </c>
      <c r="E4" s="5" t="inlineStr">
        <is>
          <t>Y5 surplus (favourable)</t>
        </is>
      </c>
      <c r="F4" s="5" t="inlineStr">
        <is>
          <t>Swing ($)</t>
        </is>
      </c>
      <c r="G4" s="5" t="inlineStr">
        <is>
          <t>Reliability (Finance)</t>
        </is>
      </c>
      <c r="H4" s="5" t="inlineStr">
        <is>
          <t>Multiplier at Y5 surplus = $0</t>
        </is>
      </c>
      <c r="I4" s="5" t="inlineStr">
        <is>
          <t>Multiplier at 3% of avg. investment ($13.1k)</t>
        </is>
      </c>
      <c r="J4" s="5" t="inlineStr">
        <is>
          <t>Multiplier at 3% of $1M ($30k)</t>
        </is>
      </c>
    </row>
    <row r="5">
      <c r="A5" s="35" t="inlineStr">
        <is>
          <t>School volume (all years)</t>
        </is>
      </c>
      <c r="B5" s="36" t="n">
        <v>0.8</v>
      </c>
      <c r="C5" s="36" t="n">
        <v>1.2</v>
      </c>
      <c r="D5" s="15" t="n">
        <v>57119.5117806186</v>
      </c>
      <c r="E5" s="15" t="n">
        <v>347727.1155123605</v>
      </c>
      <c r="F5" s="15" t="n">
        <v>290607.6037317419</v>
      </c>
      <c r="G5" s="35" t="inlineStr">
        <is>
          <t>Medium</t>
        </is>
      </c>
      <c r="H5" s="36" t="n">
        <v>0.7234667970129498</v>
      </c>
      <c r="I5" s="36" t="n">
        <v>0.7410161556785893</v>
      </c>
      <c r="J5" s="36" t="n">
        <v>0.7636631505537472</v>
      </c>
    </row>
    <row r="6">
      <c r="A6" s="35" t="inlineStr">
        <is>
          <t>Price per student</t>
        </is>
      </c>
      <c r="B6" s="36" t="n">
        <v>0.9</v>
      </c>
      <c r="C6" s="36" t="n">
        <v>1.1</v>
      </c>
      <c r="D6" s="15" t="n">
        <v>69384.4809371946</v>
      </c>
      <c r="E6" s="15" t="n">
        <v>335779.099125823</v>
      </c>
      <c r="F6" s="15" t="n">
        <v>266394.6181886284</v>
      </c>
      <c r="G6" s="35" t="inlineStr">
        <is>
          <t>Medium</t>
        </is>
      </c>
      <c r="H6" s="36" t="n">
        <v>0.849083963606881</v>
      </c>
      <c r="I6" s="36" t="n">
        <v>0.8586614017678369</v>
      </c>
      <c r="J6" s="36" t="n">
        <v>0.8710208387752409</v>
      </c>
    </row>
    <row r="7">
      <c r="A7" s="35" t="inlineStr">
        <is>
          <t>Contractor day rates</t>
        </is>
      </c>
      <c r="B7" s="36" t="n">
        <v>1.25</v>
      </c>
      <c r="C7" s="36" t="n">
        <v>0.75</v>
      </c>
      <c r="D7" s="15" t="n">
        <v>104001.8954935237</v>
      </c>
      <c r="E7" s="15" t="n">
        <v>301814.9816408963</v>
      </c>
      <c r="F7" s="15" t="n">
        <v>197813.0861473726</v>
      </c>
      <c r="G7" s="35" t="inlineStr">
        <is>
          <t>Medium</t>
        </is>
      </c>
      <c r="H7" s="36" t="n">
        <v>1.508583933170904</v>
      </c>
      <c r="I7" s="36" t="n">
        <v>1.476308163902012</v>
      </c>
      <c r="J7" s="36" t="n">
        <v>1.434657115840891</v>
      </c>
    </row>
    <row r="8">
      <c r="A8" s="35" t="inlineStr">
        <is>
          <t>Core staff cost</t>
        </is>
      </c>
      <c r="B8" s="36" t="n">
        <v>1.2</v>
      </c>
      <c r="C8" s="36" t="n">
        <v>0.8</v>
      </c>
      <c r="D8" s="15" t="n">
        <v>143938.8591312837</v>
      </c>
      <c r="E8" s="15" t="n">
        <v>262239.0906478915</v>
      </c>
      <c r="F8" s="15" t="n">
        <v>118300.2315166078</v>
      </c>
      <c r="G8" s="35" t="inlineStr">
        <is>
          <t>Low</t>
        </is>
      </c>
      <c r="H8" s="36" t="n">
        <v>1.677377799016402</v>
      </c>
      <c r="I8" s="36" t="n">
        <v>1.634390028221889</v>
      </c>
      <c r="J8" s="36" t="n">
        <v>1.578915418384208</v>
      </c>
    </row>
    <row r="9">
      <c r="A9" s="35" t="inlineStr">
        <is>
          <t>Wet-hire volume</t>
        </is>
      </c>
      <c r="B9" s="36" t="n">
        <v>0</v>
      </c>
      <c r="C9" s="36" t="n">
        <v>1.5</v>
      </c>
      <c r="D9" s="15" t="n">
        <v>134029.3356459733</v>
      </c>
      <c r="E9" s="15" t="n">
        <v>238470.9796922989</v>
      </c>
      <c r="F9" s="15" t="n">
        <v>104441.6440463256</v>
      </c>
      <c r="G9" s="35" t="inlineStr">
        <is>
          <t>Low</t>
        </is>
      </c>
      <c r="H9" s="36" t="inlineStr">
        <is>
          <t>Not reached</t>
        </is>
      </c>
      <c r="I9" s="36" t="inlineStr">
        <is>
          <t>Not reached</t>
        </is>
      </c>
      <c r="J9" s="36" t="inlineStr">
        <is>
          <t>Not reached</t>
        </is>
      </c>
    </row>
    <row r="10">
      <c r="A10" s="35" t="inlineStr">
        <is>
          <t>Utilities allowance</t>
        </is>
      </c>
      <c r="B10" s="36" t="n">
        <v>1.5</v>
      </c>
      <c r="C10" s="36" t="n">
        <v>0.5</v>
      </c>
      <c r="D10" s="15" t="n">
        <v>165241.0983435237</v>
      </c>
      <c r="E10" s="15" t="n">
        <v>241362.8962198963</v>
      </c>
      <c r="F10" s="15" t="n">
        <v>76121.79787637258</v>
      </c>
      <c r="G10" s="35" t="inlineStr">
        <is>
          <t>Low</t>
        </is>
      </c>
      <c r="H10" s="36" t="n">
        <v>3.632484475135499</v>
      </c>
      <c r="I10" s="36" t="n">
        <v>3.46542166409923</v>
      </c>
      <c r="J10" s="36" t="n">
        <v>3.249831413911012</v>
      </c>
    </row>
    <row r="11">
      <c r="A11" s="35" t="inlineStr">
        <is>
          <t>Catering cost per night</t>
        </is>
      </c>
      <c r="B11" s="36" t="n">
        <v>1.2</v>
      </c>
      <c r="C11" s="36" t="n">
        <v>0.8</v>
      </c>
      <c r="D11" s="15" t="n">
        <v>177859.1254267238</v>
      </c>
      <c r="E11" s="15" t="n">
        <v>229110.5294509042</v>
      </c>
      <c r="F11" s="15" t="n">
        <v>51251.40402418035</v>
      </c>
      <c r="G11" s="35" t="inlineStr">
        <is>
          <t>Medium</t>
        </is>
      </c>
      <c r="H11" s="36" t="n">
        <v>2.571690463893519</v>
      </c>
      <c r="I11" s="36" t="n">
        <v>2.471947795149601</v>
      </c>
      <c r="J11" s="36" t="n">
        <v>2.343232452844761</v>
      </c>
    </row>
    <row r="12">
      <c r="A12" s="35" t="inlineStr">
        <is>
          <t>Heritage and grounds maintenance</t>
        </is>
      </c>
      <c r="B12" s="36" t="n">
        <v>3</v>
      </c>
      <c r="C12" s="36" t="n">
        <v>0.5</v>
      </c>
      <c r="D12" s="15" t="n">
        <v>165241.0983435237</v>
      </c>
      <c r="E12" s="15" t="n">
        <v>213127.1362198963</v>
      </c>
      <c r="F12" s="15" t="n">
        <v>47886.0378763726</v>
      </c>
      <c r="G12" s="35" t="inlineStr">
        <is>
          <t>Low</t>
        </is>
      </c>
      <c r="H12" s="36" t="inlineStr">
        <is>
          <t>Not reached</t>
        </is>
      </c>
      <c r="I12" s="36" t="inlineStr">
        <is>
          <t>Not reached</t>
        </is>
      </c>
      <c r="J12" s="36" t="inlineStr">
        <is>
          <t>Not reached</t>
        </is>
      </c>
    </row>
    <row r="13">
      <c r="A13" s="35" t="inlineStr">
        <is>
          <t>Marketing spend</t>
        </is>
      </c>
      <c r="B13" s="36" t="n">
        <v>1.3</v>
      </c>
      <c r="C13" s="36" t="n">
        <v>0.7</v>
      </c>
      <c r="D13" s="15" t="n">
        <v>184929.2983435237</v>
      </c>
      <c r="E13" s="15" t="n">
        <v>222068.4602198963</v>
      </c>
      <c r="F13" s="15" t="n">
        <v>37139.16187637256</v>
      </c>
      <c r="G13" s="35" t="inlineStr">
        <is>
          <t>Medium</t>
        </is>
      </c>
      <c r="H13" s="36" t="inlineStr">
        <is>
          <t>Not reached</t>
        </is>
      </c>
      <c r="I13" s="36" t="inlineStr">
        <is>
          <t>Not reached</t>
        </is>
      </c>
      <c r="J13" s="36" t="n">
        <v>3.769023278659707</v>
      </c>
    </row>
    <row r="15">
      <c r="A15" s="2" t="inlineStr">
        <is>
          <t>Finance plan Year 5 surplus: $203,657. Volume threshold applies the multiplier to every year, including wet-hire-independent school volume; wet hire stays at plan. Schools-only accounting break-even (Finance FINAL): 10,486 student-days in Year 5, an 18.7% margin of safety.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4"/>
  <sheetViews>
    <sheetView showGridLines="0" workbookViewId="0">
      <selection activeCell="A1" sqref="A1"/>
    </sheetView>
  </sheetViews>
  <sheetFormatPr baseColWidth="8" defaultRowHeight="15"/>
  <cols>
    <col width="54" customWidth="1" min="1" max="1"/>
    <col width="22" customWidth="1" min="2" max="2"/>
    <col width="22" customWidth="1" min="3" max="3"/>
    <col width="22" customWidth="1" min="4" max="4"/>
    <col width="70" customWidth="1" min="5" max="5"/>
  </cols>
  <sheetData>
    <row r="1">
      <c r="A1" s="1" t="inlineStr">
        <is>
          <t>Monte Carlo (static output from analysis.py: 10,000 runs, seed 42, triangular distributions, inputs independent)</t>
        </is>
      </c>
    </row>
    <row r="3">
      <c r="A3" s="5" t="inlineStr">
        <is>
          <t>Input</t>
        </is>
      </c>
      <c r="B3" s="5" t="inlineStr">
        <is>
          <t>Minimum</t>
        </is>
      </c>
      <c r="C3" s="5" t="inlineStr">
        <is>
          <t>Most likely</t>
        </is>
      </c>
      <c r="D3" s="5" t="inlineStr">
        <is>
          <t>Maximum</t>
        </is>
      </c>
      <c r="E3" s="5" t="inlineStr">
        <is>
          <t>Basis</t>
        </is>
      </c>
    </row>
    <row r="4">
      <c r="A4" s="6" t="inlineStr">
        <is>
          <t>Launch volume multiplier (Year 2)</t>
        </is>
      </c>
      <c r="B4" s="36" t="n">
        <v>0.6944444444444444</v>
      </c>
      <c r="C4" s="36" t="n">
        <v>1</v>
      </c>
      <c r="D4" s="36" t="n">
        <v>1.25</v>
      </c>
      <c r="E4" s="2" t="inlineStr">
        <is>
          <t>Low / Base / High overnight camp size: 50 / 72 / 90 students (90 = Finance maximum)</t>
        </is>
      </c>
    </row>
    <row r="5">
      <c r="A5" s="6" t="inlineStr">
        <is>
          <t>Annual demand growth, case A (benchmark)</t>
        </is>
      </c>
      <c r="B5" s="37" t="n">
        <v>0.04777825289457915</v>
      </c>
      <c r="C5" s="37" t="n">
        <v>0.06236167373640572</v>
      </c>
      <c r="D5" s="37" t="n">
        <v>0.08537567131956303</v>
      </c>
      <c r="E5" s="2" t="inlineStr">
        <is>
          <t>Min / mean / max of 4 comparable YoY observations</t>
        </is>
      </c>
    </row>
    <row r="6">
      <c r="A6" s="6" t="inlineStr">
        <is>
          <t>Annual demand growth, case B (stress)</t>
        </is>
      </c>
      <c r="B6" s="37" t="n">
        <v>0</v>
      </c>
      <c r="C6" s="37" t="n">
        <v>0.06236167373640572</v>
      </c>
      <c r="D6" s="37" t="n">
        <v>0.08537567131956303</v>
      </c>
      <c r="E6" s="2" t="inlineStr">
        <is>
          <t>Floor set to 0% for survivorship bias (analyst judgement)</t>
        </is>
      </c>
    </row>
    <row r="7">
      <c r="A7" s="6" t="inlineStr">
        <is>
          <t>Price multiplier</t>
        </is>
      </c>
      <c r="B7" s="36" t="n">
        <v>0.9</v>
      </c>
      <c r="C7" s="36" t="n">
        <v>1</v>
      </c>
      <c r="D7" s="36" t="n">
        <v>1.1</v>
      </c>
      <c r="E7" s="2" t="inlineStr">
        <is>
          <t>Medium reliability; cost-plus price, market ceiling untested</t>
        </is>
      </c>
    </row>
    <row r="8">
      <c r="A8" s="6" t="inlineStr">
        <is>
          <t>Contractor day-rate multiplier</t>
        </is>
      </c>
      <c r="B8" s="36" t="n">
        <v>0.8</v>
      </c>
      <c r="C8" s="36" t="n">
        <v>1</v>
      </c>
      <c r="D8" s="36" t="n">
        <v>1.2</v>
      </c>
      <c r="E8" s="2" t="inlineStr">
        <is>
          <t>Medium reliability</t>
        </is>
      </c>
    </row>
    <row r="9">
      <c r="A9" s="6" t="inlineStr">
        <is>
          <t>Wet-hire volume multiplier</t>
        </is>
      </c>
      <c r="B9" s="36" t="n">
        <v>0</v>
      </c>
      <c r="C9" s="36" t="n">
        <v>1</v>
      </c>
      <c r="D9" s="36" t="n">
        <v>2</v>
      </c>
      <c r="E9" s="2" t="inlineStr">
        <is>
          <t>Low reliability: 0 to double the plan</t>
        </is>
      </c>
    </row>
    <row r="10">
      <c r="A10" s="6" t="inlineStr">
        <is>
          <t>Utilities multiplier</t>
        </is>
      </c>
      <c r="B10" s="36" t="n">
        <v>0.5</v>
      </c>
      <c r="C10" s="36" t="n">
        <v>1</v>
      </c>
      <c r="D10" s="36" t="n">
        <v>1.5</v>
      </c>
      <c r="E10" s="2" t="inlineStr">
        <is>
          <t>Low reliability</t>
        </is>
      </c>
    </row>
    <row r="11">
      <c r="A11" s="6" t="inlineStr">
        <is>
          <t>Core staff cost multiplier</t>
        </is>
      </c>
      <c r="B11" s="36" t="n">
        <v>0.75</v>
      </c>
      <c r="C11" s="36" t="n">
        <v>1</v>
      </c>
      <c r="D11" s="36" t="n">
        <v>1.25</v>
      </c>
      <c r="E11" s="2" t="inlineStr">
        <is>
          <t>Low reliability</t>
        </is>
      </c>
    </row>
    <row r="12">
      <c r="A12" s="6" t="inlineStr">
        <is>
          <t>Catering cost multiplier</t>
        </is>
      </c>
      <c r="B12" s="36" t="n">
        <v>0.8</v>
      </c>
      <c r="C12" s="36" t="n">
        <v>1</v>
      </c>
      <c r="D12" s="36" t="n">
        <v>1.2</v>
      </c>
      <c r="E12" s="2" t="inlineStr">
        <is>
          <t>Medium reliability</t>
        </is>
      </c>
    </row>
    <row r="13">
      <c r="A13" s="6" t="inlineStr">
        <is>
          <t>Heritage maintenance multiplier</t>
        </is>
      </c>
      <c r="B13" s="36" t="n">
        <v>0.5</v>
      </c>
      <c r="C13" s="36" t="n">
        <v>1</v>
      </c>
      <c r="D13" s="36" t="n">
        <v>3</v>
      </c>
      <c r="E13" s="2" t="inlineStr">
        <is>
          <t>Low reliability; one-sided heritage risk (State-listed, fair condition)</t>
        </is>
      </c>
    </row>
    <row r="15">
      <c r="A15" s="5" t="inlineStr">
        <is>
          <t>Result</t>
        </is>
      </c>
      <c r="B15" s="5" t="inlineStr">
        <is>
          <t>Case A (benchmark growth)</t>
        </is>
      </c>
      <c r="C15" s="5" t="inlineStr">
        <is>
          <t>Case B (stress growth)</t>
        </is>
      </c>
    </row>
    <row r="16">
      <c r="A16" s="6" t="inlineStr">
        <is>
          <t>Year 5 surplus: 5th percentile</t>
        </is>
      </c>
      <c r="B16" s="15" t="n">
        <v>-55928.10238889731</v>
      </c>
      <c r="C16" s="15" t="n">
        <v>-86733.8835544747</v>
      </c>
    </row>
    <row r="17">
      <c r="A17" s="6" t="inlineStr">
        <is>
          <t>Year 5 surplus: median</t>
        </is>
      </c>
      <c r="B17" s="15" t="n">
        <v>113969.9860014687</v>
      </c>
      <c r="C17" s="15" t="n">
        <v>85439.78718388785</v>
      </c>
    </row>
    <row r="18">
      <c r="A18" s="6" t="inlineStr">
        <is>
          <t>Year 5 surplus: 95th percentile</t>
        </is>
      </c>
      <c r="B18" s="15" t="n">
        <v>289950.7839137628</v>
      </c>
      <c r="C18" s="15" t="n">
        <v>263209.8889207904</v>
      </c>
    </row>
    <row r="19">
      <c r="A19" s="6" t="inlineStr">
        <is>
          <t>P(Year 5 surplus &lt; $0)</t>
        </is>
      </c>
      <c r="B19" s="17" t="n">
        <v>0.1386</v>
      </c>
      <c r="C19" s="17" t="n">
        <v>0.2111</v>
      </c>
    </row>
    <row r="20">
      <c r="A20" s="6" t="inlineStr">
        <is>
          <t>P(Year 5 surplus &lt; 3% of average investment, $13.1k)</t>
        </is>
      </c>
      <c r="B20" s="17" t="n">
        <v>0.169</v>
      </c>
      <c r="C20" s="17" t="n">
        <v>0.2483</v>
      </c>
    </row>
    <row r="21">
      <c r="A21" s="6" t="inlineStr">
        <is>
          <t>P(Year 5 surplus &lt; 3% of $1M, $30k)</t>
        </is>
      </c>
      <c r="B21" s="17" t="n">
        <v>0.212</v>
      </c>
      <c r="C21" s="17" t="n">
        <v>0.3023</v>
      </c>
    </row>
    <row r="22">
      <c r="A22" s="6" t="inlineStr">
        <is>
          <t>P(5-year average surplus &lt; 3% of $1M)</t>
        </is>
      </c>
      <c r="B22" s="17" t="n">
        <v>0.8151</v>
      </c>
      <c r="C22" s="17" t="n">
        <v>0.8479</v>
      </c>
    </row>
    <row r="23">
      <c r="A23" s="6" t="inlineStr">
        <is>
          <t>Finance plan percentile within Year 5 distribution</t>
        </is>
      </c>
      <c r="B23" s="17" t="n">
        <v>0.8001</v>
      </c>
      <c r="C23" s="17" t="n">
        <v>0.863</v>
      </c>
    </row>
    <row r="25">
      <c r="A25" s="5" t="inlineStr">
        <is>
          <t>Rank correlation (Spearman) with Year 5 surplus</t>
        </is>
      </c>
      <c r="B25" s="5" t="inlineStr">
        <is>
          <t>Case A</t>
        </is>
      </c>
      <c r="C25" s="5" t="inlineStr">
        <is>
          <t>Case B</t>
        </is>
      </c>
    </row>
    <row r="26">
      <c r="A26" s="6" t="inlineStr">
        <is>
          <t>Launch volume</t>
        </is>
      </c>
      <c r="B26" s="36" t="n">
        <v>0.6976300222723002</v>
      </c>
      <c r="C26" s="36" t="n">
        <v>0.6633383287053833</v>
      </c>
    </row>
    <row r="27">
      <c r="A27" s="6" t="inlineStr">
        <is>
          <t>Price</t>
        </is>
      </c>
      <c r="B27" s="36" t="n">
        <v>0.4413630716976307</v>
      </c>
      <c r="C27" s="36" t="n">
        <v>0.4196741665407416</v>
      </c>
    </row>
    <row r="28">
      <c r="A28" s="6" t="inlineStr">
        <is>
          <t>Core staff</t>
        </is>
      </c>
      <c r="B28" s="36" t="n">
        <v>-0.2676626321046264</v>
      </c>
      <c r="C28" s="36" t="n">
        <v>-0.2685912703539127</v>
      </c>
    </row>
    <row r="29">
      <c r="A29" s="6" t="inlineStr">
        <is>
          <t>Wet-hire volume</t>
        </is>
      </c>
      <c r="B29" s="36" t="n">
        <v>0.2532820240208202</v>
      </c>
      <c r="C29" s="36" t="n">
        <v>0.2514945483069455</v>
      </c>
    </row>
    <row r="30">
      <c r="A30" s="6" t="inlineStr">
        <is>
          <t>Contractor rates</t>
        </is>
      </c>
      <c r="B30" s="36" t="n">
        <v>-0.2405510507695105</v>
      </c>
      <c r="C30" s="36" t="n">
        <v>-0.2297074027730741</v>
      </c>
    </row>
    <row r="31">
      <c r="A31" s="6" t="inlineStr">
        <is>
          <t>Utilities</t>
        </is>
      </c>
      <c r="B31" s="36" t="n">
        <v>-0.1323446767954468</v>
      </c>
      <c r="C31" s="36" t="n">
        <v>-0.1308694314246943</v>
      </c>
    </row>
    <row r="32">
      <c r="A32" s="6" t="inlineStr">
        <is>
          <t>Annual growth</t>
        </is>
      </c>
      <c r="B32" s="36" t="n">
        <v>0.1269654728616547</v>
      </c>
      <c r="C32" s="36" t="n">
        <v>0.2910236506862365</v>
      </c>
    </row>
    <row r="33">
      <c r="A33" s="6" t="inlineStr">
        <is>
          <t>Catering</t>
        </is>
      </c>
      <c r="B33" s="36" t="n">
        <v>-0.07294960444549604</v>
      </c>
      <c r="C33" s="36" t="n">
        <v>-0.07124685924446859</v>
      </c>
    </row>
    <row r="34">
      <c r="A34" s="6" t="inlineStr">
        <is>
          <t>Heritage maintenance</t>
        </is>
      </c>
      <c r="B34" s="36" t="n">
        <v>-0.0707771393757714</v>
      </c>
      <c r="C34" s="36" t="n">
        <v>-0.06779952799799528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52" customWidth="1" min="1" max="1"/>
    <col width="24" customWidth="1" min="2" max="2"/>
    <col width="28" customWidth="1" min="3" max="3"/>
    <col width="90" customWidth="1" min="4" max="4"/>
    <col width="34" customWidth="1" min="5" max="5"/>
  </cols>
  <sheetData>
    <row r="1">
      <c r="A1" s="1" t="inlineStr">
        <is>
          <t>Model-risk stress: cost lines that look light in Finance's workbook</t>
        </is>
      </c>
    </row>
    <row r="2">
      <c r="A2" s="2" t="inlineStr">
        <is>
          <t>Illustrative adjustments to Year 5 surplus. Blue cells are analyst assumptions anchored to the source in column D; change them to test other values. Not Finance numbers.</t>
        </is>
      </c>
    </row>
    <row r="4">
      <c r="A4" s="5" t="inlineStr">
        <is>
          <t>Assumption</t>
        </is>
      </c>
      <c r="B4" s="5" t="inlineStr">
        <is>
          <t>Value</t>
        </is>
      </c>
      <c r="C4" s="5" t="inlineStr">
        <is>
          <t>Unit</t>
        </is>
      </c>
      <c r="D4" s="5" t="inlineStr">
        <is>
          <t>Basis</t>
        </is>
      </c>
    </row>
    <row r="5">
      <c r="A5" s="6" t="inlineStr">
        <is>
          <t>Catering uplift</t>
        </is>
      </c>
      <c r="B5" s="38" t="n">
        <v>0.5</v>
      </c>
      <c r="C5" s="2" t="inlineStr">
        <is>
          <t>% of Finance catering cost</t>
        </is>
      </c>
      <c r="D5" s="2" t="inlineStr">
        <is>
          <t>(NSW Sport and Recreation, 2026) catered vs uncatered day price implies about $22.50 per student-day; compare with the catering line in (Drake, 2026a)</t>
        </is>
      </c>
    </row>
    <row r="6">
      <c r="A6" s="6" t="inlineStr">
        <is>
          <t>Extra kitchen / cleaning staff</t>
        </is>
      </c>
      <c r="B6" s="39" t="n">
        <v>1</v>
      </c>
      <c r="C6" s="2" t="inlineStr">
        <is>
          <t>FTE</t>
        </is>
      </c>
      <c r="D6" s="2" t="inlineStr">
        <is>
          <t>(Drake, 2026a) Staffing tab lists a Site Manager and 3 General Supervisors; no cook, cleaner or night staff</t>
        </is>
      </c>
    </row>
    <row r="7">
      <c r="A7" s="6" t="inlineStr">
        <is>
          <t>Cost per extra FTE</t>
        </is>
      </c>
      <c r="B7" s="40" t="n">
        <v>70611.818</v>
      </c>
      <c r="C7" s="2" t="inlineStr">
        <is>
          <t>$ per year</t>
        </is>
      </c>
      <c r="D7" s="2" t="inlineStr">
        <is>
          <t>(Drake, 2026a) Staffing tab: General Supervisor annual cost incl. on-costs</t>
        </is>
      </c>
    </row>
    <row r="8">
      <c r="A8" s="6" t="inlineStr">
        <is>
          <t>Extra insurance</t>
        </is>
      </c>
      <c r="B8" s="40" t="n">
        <v>20000</v>
      </c>
      <c r="C8" s="2" t="inlineStr">
        <is>
          <t>$ per year</t>
        </is>
      </c>
      <c r="D8" s="2" t="inlineStr">
        <is>
          <t>Our assumption: (Drake, 2026a) costs $10,000 of public liability cover only</t>
        </is>
      </c>
    </row>
    <row r="9">
      <c r="A9" s="6" t="inlineStr">
        <is>
          <t>Alternative day-program price</t>
        </is>
      </c>
      <c r="B9" s="41" t="n">
        <v>83</v>
      </c>
      <c r="C9" s="2" t="inlineStr">
        <is>
          <t>$ per student-day</t>
        </is>
      </c>
      <c r="D9" s="2" t="inlineStr">
        <is>
          <t>(NSW Sport and Recreation, 2026) catered day program price; cost-plus day price in (Drake, 2026a) is $98.60</t>
        </is>
      </c>
    </row>
    <row r="11">
      <c r="A11" s="11" t="inlineStr">
        <is>
          <t>Finance plan Year 5 operating surplus (2.5 basis)</t>
        </is>
      </c>
      <c r="B11" s="10">
        <f>Scenarios!G88</f>
        <v/>
      </c>
    </row>
    <row r="12">
      <c r="A12" s="6" t="inlineStr">
        <is>
          <t>Finance Year 5 catering cost</t>
        </is>
      </c>
      <c r="B12" s="10">
        <f>Scenarios!G75</f>
        <v/>
      </c>
    </row>
    <row r="13">
      <c r="A13" s="6" t="inlineStr">
        <is>
          <t>Finance Year 5 day-program student-days</t>
        </is>
      </c>
      <c r="B13" s="9">
        <f>Scenarios!G65</f>
        <v/>
      </c>
    </row>
    <row r="14">
      <c r="A14" s="6" t="inlineStr">
        <is>
          <t>Finance day-program price</t>
        </is>
      </c>
      <c r="B14" s="42">
        <f>Inputs!$B$4</f>
        <v/>
      </c>
    </row>
    <row r="15">
      <c r="A15" s="6" t="inlineStr">
        <is>
          <t>Hurdle surplus: 3% of $1M</t>
        </is>
      </c>
      <c r="B15" s="10">
        <f>Inputs!$B$19*Inputs!$B$15</f>
        <v/>
      </c>
    </row>
    <row r="17">
      <c r="A17" s="5" t="inlineStr">
        <is>
          <t>Case</t>
        </is>
      </c>
      <c r="B17" s="5" t="inlineStr">
        <is>
          <t>Change to Year 5 surplus (simple formula)</t>
        </is>
      </c>
      <c r="C17" s="5" t="inlineStr">
        <is>
          <t>Year 5 surplus (simple formula)</t>
        </is>
      </c>
      <c r="D17" s="5" t="inlineStr">
        <is>
          <t>Above $30k hurdle?</t>
        </is>
      </c>
      <c r="E17" s="5" t="inlineStr">
        <is>
          <t>Python result incl. policy offset (authoritative)</t>
        </is>
      </c>
    </row>
    <row r="18">
      <c r="A18" s="6" t="inlineStr">
        <is>
          <t>Finance plan (no change)</t>
        </is>
      </c>
      <c r="B18" s="29">
        <f>0</f>
        <v/>
      </c>
      <c r="C18" s="29">
        <f>$B$11+B18</f>
        <v/>
      </c>
      <c r="D18" s="6">
        <f>IF(C18&gt;=$B$15,"Yes","No")</f>
        <v/>
      </c>
      <c r="E18" s="15" t="n">
        <v>203657.0983435237</v>
      </c>
    </row>
    <row r="19">
      <c r="A19" s="6" t="inlineStr">
        <is>
          <t>Catering uplift</t>
        </is>
      </c>
      <c r="B19" s="29">
        <f>-B5*B12</f>
        <v/>
      </c>
      <c r="C19" s="29">
        <f>$B$11+B19</f>
        <v/>
      </c>
      <c r="D19" s="6">
        <f>IF(C19&gt;=$B$15,"Yes","No")</f>
        <v/>
      </c>
      <c r="E19" s="15" t="n">
        <v>139162.1660515237</v>
      </c>
    </row>
    <row r="20">
      <c r="A20" s="6" t="inlineStr">
        <is>
          <t>Extra kitchen / cleaning staff</t>
        </is>
      </c>
      <c r="B20" s="29">
        <f>-B6*B7</f>
        <v/>
      </c>
      <c r="C20" s="29">
        <f>$B$11+B20</f>
        <v/>
      </c>
      <c r="D20" s="6">
        <f>IF(C20&gt;=$B$15,"Yes","No")</f>
        <v/>
      </c>
      <c r="E20" s="15" t="n">
        <v>135841.5083363237</v>
      </c>
    </row>
    <row r="21">
      <c r="A21" s="6" t="inlineStr">
        <is>
          <t>Extra insurance</t>
        </is>
      </c>
      <c r="B21" s="29">
        <f>-B8</f>
        <v/>
      </c>
      <c r="C21" s="29">
        <f>$B$11+B21</f>
        <v/>
      </c>
      <c r="D21" s="6">
        <f>IF(C21&gt;=$B$15,"Yes","No")</f>
        <v/>
      </c>
      <c r="E21" s="15" t="n">
        <v>184449.0983435237</v>
      </c>
    </row>
    <row r="22">
      <c r="A22" s="6" t="inlineStr">
        <is>
          <t>Day price at alternative</t>
        </is>
      </c>
      <c r="B22" s="29">
        <f>-(B14-B9)*B13</f>
        <v/>
      </c>
      <c r="C22" s="29">
        <f>$B$11+B22</f>
        <v/>
      </c>
      <c r="D22" s="6">
        <f>IF(C22&gt;=$B$15,"Yes","No")</f>
        <v/>
      </c>
      <c r="E22" s="15" t="n">
        <v>152618.7085917382</v>
      </c>
    </row>
    <row r="23">
      <c r="A23" s="11" t="inlineStr">
        <is>
          <t>Mild: catering + one FTE + insurance</t>
        </is>
      </c>
      <c r="B23" s="29">
        <f>B19+B20+B21</f>
        <v/>
      </c>
      <c r="C23" s="30">
        <f>$B$11+B23</f>
        <v/>
      </c>
      <c r="D23" s="6">
        <f>IF(C23&gt;=$B$15,"Yes","No")</f>
        <v/>
      </c>
      <c r="E23" s="15" t="n">
        <v>51929.62181062324</v>
      </c>
    </row>
    <row r="24">
      <c r="A24" s="11" t="inlineStr">
        <is>
          <t>Heavier: catering + two FTE + insurance + day price</t>
        </is>
      </c>
      <c r="B24" s="29">
        <f>B19+2*B20+B21+B22</f>
        <v/>
      </c>
      <c r="C24" s="30">
        <f>$B$11+B24</f>
        <v/>
      </c>
      <c r="D24" s="6">
        <f>IF(C24&gt;=$B$15,"Yes","No")</f>
        <v/>
      </c>
      <c r="E24" s="15" t="n">
        <v>-70742.78628811985</v>
      </c>
    </row>
    <row r="26">
      <c r="A26" s="2" t="inlineStr">
        <is>
          <t>Note: the heavier case uses 2 x the per-FTE cost in B7 regardless of B6, so B6 only drives the single-FTE row and the mild case.</t>
        </is>
      </c>
    </row>
    <row r="27">
      <c r="A27" s="2" t="inlineStr">
        <is>
          <t>Column E is the exact Python result. It differs from the simple formula by a few thousand dollars because lower surplus also lowers the 50% conservation reinvestment and its depreciation (Section 2.5 layer).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62" customWidth="1" min="1" max="1"/>
    <col width="26" customWidth="1" min="2" max="2"/>
    <col width="26" customWidth="1" min="3" max="3"/>
    <col width="26" customWidth="1" min="4" max="4"/>
    <col width="70" customWidth="1" min="5" max="5"/>
    <col width="50" customWidth="1" min="6" max="6"/>
  </cols>
  <sheetData>
    <row r="1">
      <c r="A1" s="1" t="inlineStr">
        <is>
          <t>Comparator charities: cost structure and growth</t>
        </is>
      </c>
    </row>
    <row r="2">
      <c r="A2" s="2" t="inlineStr">
        <is>
          <t>Latest-year figures reclassified onto a common cost structure by (Quang, 2026), from the statements of (Stewart House, 2025), (Crusader Union, 2025) and (YMCA Camping Ltd, 2025). Ratios are formulas.</t>
        </is>
      </c>
    </row>
    <row r="4">
      <c r="A4" s="5" t="inlineStr">
        <is>
          <t>Latest year, $</t>
        </is>
      </c>
      <c r="B4" s="5" t="inlineStr">
        <is>
          <t>Stewart House (CY2024)</t>
        </is>
      </c>
      <c r="C4" s="5" t="inlineStr">
        <is>
          <t>Crusader Union (FY2024-25)</t>
        </is>
      </c>
      <c r="D4" s="5" t="inlineStr">
        <is>
          <t>YMCA Camping (FY2025)</t>
        </is>
      </c>
      <c r="E4" s="5" t="inlineStr">
        <is>
          <t>Source</t>
        </is>
      </c>
    </row>
    <row r="5">
      <c r="A5" s="6" t="inlineStr">
        <is>
          <t>Total revenue</t>
        </is>
      </c>
      <c r="B5" s="15" t="n">
        <v>3316064</v>
      </c>
      <c r="C5" s="15" t="n">
        <v>19009565</v>
      </c>
      <c r="D5" s="15" t="n">
        <v>21166872</v>
      </c>
      <c r="E5" s="2" t="inlineStr">
        <is>
          <t>(Quang, 2026) Comparable Benchmark!B8:D8</t>
        </is>
      </c>
    </row>
    <row r="6">
      <c r="A6" s="6" t="inlineStr">
        <is>
          <t>Employee expenses</t>
        </is>
      </c>
      <c r="B6" s="15" t="n">
        <v>3187539</v>
      </c>
      <c r="C6" s="15" t="n">
        <v>10169973</v>
      </c>
      <c r="D6" s="15" t="n">
        <v>10319033</v>
      </c>
      <c r="E6" s="2" t="inlineStr">
        <is>
          <t>(Quang, 2026) Comparable Benchmark!B9:D9</t>
        </is>
      </c>
    </row>
    <row r="7">
      <c r="A7" s="6" t="inlineStr">
        <is>
          <t>Depreciation and amortization</t>
        </is>
      </c>
      <c r="B7" s="15" t="n">
        <v>194899</v>
      </c>
      <c r="C7" s="15" t="n">
        <v>1848860</v>
      </c>
      <c r="D7" s="15" t="n">
        <v>787682</v>
      </c>
      <c r="E7" s="2" t="inlineStr">
        <is>
          <t>(Quang, 2026) Comparable Benchmark!B10:D10</t>
        </is>
      </c>
    </row>
    <row r="8">
      <c r="A8" s="6" t="inlineStr">
        <is>
          <t>Admin-like overhead</t>
        </is>
      </c>
      <c r="B8" s="15" t="n">
        <v>906189</v>
      </c>
      <c r="C8" s="15" t="n">
        <v>3786924</v>
      </c>
      <c r="D8" s="15" t="n">
        <v>2472638</v>
      </c>
      <c r="E8" s="2" t="inlineStr">
        <is>
          <t>(Quang, 2026) Comparable Benchmark!B11:D11</t>
        </is>
      </c>
    </row>
    <row r="9">
      <c r="A9" s="6" t="inlineStr">
        <is>
          <t>Operations and program costs</t>
        </is>
      </c>
      <c r="B9" s="15" t="n">
        <v>633489</v>
      </c>
      <c r="C9" s="15" t="n">
        <v>2922135</v>
      </c>
      <c r="D9" s="15" t="n">
        <v>5984943</v>
      </c>
      <c r="E9" s="2" t="inlineStr">
        <is>
          <t>(Quang, 2026) Comparable Benchmark!B12:D12</t>
        </is>
      </c>
    </row>
    <row r="10">
      <c r="A10" s="6" t="inlineStr">
        <is>
          <t>Other (gain or loss on disposals)</t>
        </is>
      </c>
      <c r="B10" s="15" t="n">
        <v>0</v>
      </c>
      <c r="C10" s="15" t="n">
        <v>0</v>
      </c>
      <c r="D10" s="15" t="n">
        <v>-33360</v>
      </c>
      <c r="E10" s="2" t="inlineStr">
        <is>
          <t>(Quang, 2026) Comparable Benchmark!B13:D13</t>
        </is>
      </c>
    </row>
    <row r="11">
      <c r="A11" s="11" t="inlineStr">
        <is>
          <t>Total expenses</t>
        </is>
      </c>
      <c r="B11" s="30">
        <f>SUM(B6:B10)</f>
        <v/>
      </c>
      <c r="C11" s="30">
        <f>SUM(C6:C10)</f>
        <v/>
      </c>
      <c r="D11" s="30">
        <f>SUM(D6:D10)</f>
        <v/>
      </c>
    </row>
    <row r="12">
      <c r="A12" s="6" t="inlineStr">
        <is>
          <t>Surplus or (deficit)</t>
        </is>
      </c>
      <c r="B12" s="29">
        <f>B5-B11</f>
        <v/>
      </c>
      <c r="C12" s="29">
        <f>C5-C11</f>
        <v/>
      </c>
      <c r="D12" s="29">
        <f>D5-D11</f>
        <v/>
      </c>
    </row>
    <row r="14">
      <c r="A14" s="5" t="inlineStr">
        <is>
          <t>Ratios (% of revenue)</t>
        </is>
      </c>
      <c r="B14" s="5" t="inlineStr">
        <is>
          <t>Stewart House</t>
        </is>
      </c>
      <c r="C14" s="5" t="inlineStr">
        <is>
          <t>Crusader Union</t>
        </is>
      </c>
      <c r="D14" s="5" t="inlineStr">
        <is>
          <t>YMCA Camping</t>
        </is>
      </c>
      <c r="E14" s="5" t="inlineStr">
        <is>
          <t>Finance plan, Year 5</t>
        </is>
      </c>
    </row>
    <row r="15">
      <c r="A15" s="11" t="inlineStr">
        <is>
          <t>Total expense ratio</t>
        </is>
      </c>
      <c r="B15" s="25">
        <f>B11/B5</f>
        <v/>
      </c>
      <c r="C15" s="25">
        <f>C11/C5</f>
        <v/>
      </c>
      <c r="D15" s="25">
        <f>D11/D5</f>
        <v/>
      </c>
      <c r="E15" s="8">
        <f>Summary!D11</f>
        <v/>
      </c>
      <c r="F15" s="2" t="inlineStr">
        <is>
          <t>(Drake, 2026b), total cost including depreciation / revenue</t>
        </is>
      </c>
    </row>
    <row r="16">
      <c r="A16" s="11" t="inlineStr">
        <is>
          <t>Employee cost ratio</t>
        </is>
      </c>
      <c r="B16" s="25">
        <f>B6/B5</f>
        <v/>
      </c>
      <c r="C16" s="25">
        <f>C6/C5</f>
        <v/>
      </c>
      <c r="D16" s="25">
        <f>D6/D5</f>
        <v/>
      </c>
    </row>
    <row r="17">
      <c r="A17" s="11" t="inlineStr">
        <is>
          <t>Surplus or (deficit) margin</t>
        </is>
      </c>
      <c r="B17" s="25">
        <f>B12/B5</f>
        <v/>
      </c>
      <c r="C17" s="25">
        <f>C12/C5</f>
        <v/>
      </c>
      <c r="D17" s="25">
        <f>D12/D5</f>
        <v/>
      </c>
    </row>
    <row r="19">
      <c r="A19" s="11" t="inlineStr">
        <is>
          <t>Crusader Union: capital-campaign adjustment</t>
        </is>
      </c>
    </row>
    <row r="20">
      <c r="A20" s="6" t="inlineStr">
        <is>
          <t>Revenue excluding capital-campaign donations, FY2024-25</t>
        </is>
      </c>
      <c r="C20" s="15" t="n">
        <v>18249398</v>
      </c>
      <c r="E20" s="2" t="inlineStr">
        <is>
          <t>(Crusader Union, 2025) Annual Report FY2024-25</t>
        </is>
      </c>
    </row>
    <row r="21">
      <c r="A21" s="6" t="inlineStr">
        <is>
          <t>Revenue excluding capital-campaign donations, FY2023-24</t>
        </is>
      </c>
      <c r="C21" s="15" t="n">
        <v>16813900</v>
      </c>
      <c r="E21" s="2" t="inlineStr">
        <is>
          <t>(Crusader Union, 2025) Annual Report FY2024-25, prior-year column</t>
        </is>
      </c>
    </row>
    <row r="22">
      <c r="A22" s="6" t="inlineStr">
        <is>
          <t>Capital-campaign donations, FY2024-25</t>
        </is>
      </c>
      <c r="C22" s="29">
        <f>C5-C20</f>
        <v/>
      </c>
    </row>
    <row r="23">
      <c r="A23" s="6" t="inlineStr">
        <is>
          <t>Capital-campaign donations, FY2023-24</t>
        </is>
      </c>
      <c r="C23" s="29">
        <f>16822335-C21</f>
        <v/>
      </c>
      <c r="E23" s="2" t="inlineStr">
        <is>
          <t>FY2023-24 reported revenue $16,822,335 (Quang, 2026) Growth Trend!B29</t>
        </is>
      </c>
    </row>
    <row r="24">
      <c r="A24" s="6" t="inlineStr">
        <is>
          <t>Expense ratio excluding campaign donations</t>
        </is>
      </c>
      <c r="C24" s="25">
        <f>C11/C20</f>
        <v/>
      </c>
    </row>
    <row r="26">
      <c r="A26" s="11" t="inlineStr">
        <is>
          <t>Stewart House: donations share of income, CY2024</t>
        </is>
      </c>
    </row>
    <row r="27">
      <c r="A27" s="6" t="inlineStr">
        <is>
          <t>Donations: schools + salary contributions + corporate and other</t>
        </is>
      </c>
      <c r="B27" s="15">
        <f>214419+1197181+1214314</f>
        <v/>
      </c>
      <c r="E27" s="2" t="inlineStr">
        <is>
          <t>(Stewart House, 2025) statement of surplus or deficit, 2024 column</t>
        </is>
      </c>
    </row>
    <row r="28">
      <c r="A28" s="6" t="inlineStr">
        <is>
          <t>Share of total revenue</t>
        </is>
      </c>
      <c r="B28" s="25">
        <f>B27/B5</f>
        <v/>
      </c>
    </row>
    <row r="30">
      <c r="A30" s="5" t="inlineStr">
        <is>
          <t>Year-on-year revenue growth</t>
        </is>
      </c>
      <c r="B30" s="5" t="inlineStr">
        <is>
          <t>Prior year, $</t>
        </is>
      </c>
      <c r="C30" s="5" t="inlineStr">
        <is>
          <t>Latest year, $</t>
        </is>
      </c>
      <c r="D30" s="5" t="inlineStr">
        <is>
          <t>Growth</t>
        </is>
      </c>
      <c r="E30" s="5" t="inlineStr">
        <is>
          <t>Source</t>
        </is>
      </c>
    </row>
    <row r="31">
      <c r="A31" s="6" t="inlineStr">
        <is>
          <t>Stewart House CY2023 to CY2024</t>
        </is>
      </c>
      <c r="B31" s="15" t="n">
        <v>3162237</v>
      </c>
      <c r="C31" s="15" t="n">
        <v>3316064</v>
      </c>
      <c r="D31" s="21">
        <f>C31/B31-1</f>
        <v/>
      </c>
      <c r="E31" s="2" t="inlineStr">
        <is>
          <t>(Stewart House, 2025)</t>
        </is>
      </c>
    </row>
    <row r="32">
      <c r="A32" s="6" t="inlineStr">
        <is>
          <t>Crusader Union FY2023-24 to FY2024-25 (excl. capital campaign)</t>
        </is>
      </c>
      <c r="B32" s="15" t="n">
        <v>16813900</v>
      </c>
      <c r="C32" s="15" t="n">
        <v>18249398</v>
      </c>
      <c r="D32" s="21">
        <f>C32/B32-1</f>
        <v/>
      </c>
      <c r="E32" s="2" t="inlineStr">
        <is>
          <t>(Crusader Union, 2025)</t>
        </is>
      </c>
    </row>
    <row r="33">
      <c r="A33" s="6" t="inlineStr">
        <is>
          <t>YMCA Camping FY2023 to FY2024</t>
        </is>
      </c>
      <c r="B33" s="15" t="n">
        <v>18921663</v>
      </c>
      <c r="C33" s="15" t="n">
        <v>19825707</v>
      </c>
      <c r="D33" s="21">
        <f>C33/B33-1</f>
        <v/>
      </c>
      <c r="E33" s="2" t="inlineStr">
        <is>
          <t>(YMCA Camping Ltd, 2024)</t>
        </is>
      </c>
    </row>
    <row r="34">
      <c r="A34" s="6" t="inlineStr">
        <is>
          <t>YMCA Camping FY2024 to FY2025</t>
        </is>
      </c>
      <c r="B34" s="15" t="n">
        <v>19825707</v>
      </c>
      <c r="C34" s="15" t="n">
        <v>21166872</v>
      </c>
      <c r="D34" s="21">
        <f>C34/B34-1</f>
        <v/>
      </c>
      <c r="E34" s="2" t="inlineStr">
        <is>
          <t>(YMCA Camping Ltd, 2025)</t>
        </is>
      </c>
    </row>
    <row r="35">
      <c r="A35" s="11" t="inlineStr">
        <is>
          <t>Minimum / mean / maximum</t>
        </is>
      </c>
      <c r="B35" s="43">
        <f>MIN(D31:D34)</f>
        <v/>
      </c>
      <c r="C35" s="43">
        <f>AVERAGE(D31:D34)</f>
        <v/>
      </c>
      <c r="D35" s="43">
        <f>MAX(D31:D34)</f>
        <v/>
      </c>
      <c r="E35" s="2" t="inlineStr">
        <is>
          <t>Feeds the Low, Base and High growth rates on the Inputs sheet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34"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1" t="inlineStr">
        <is>
          <t>Recommendations: cost of heritage and access commitments (static output of tradeoff2.py)</t>
        </is>
      </c>
    </row>
    <row r="2">
      <c r="A2" s="2" t="inlineStr">
        <is>
          <t>Deterministic columns: Finance plan volumes, Year 5. Simulation columns: 10,000 runs, seed 42, same random draws in every row. Discount = 25% on the share of school student-days offered to local or under-resourced schools (our assumption); conservation share = share of surplus reinvested in conservation (Finance: 50%, Drake, 2026b).</t>
        </is>
      </c>
    </row>
    <row r="4" ht="46" customHeight="1">
      <c r="A4" s="5" t="inlineStr">
        <is>
          <t>Package</t>
        </is>
      </c>
      <c r="B4" s="5" t="inlineStr">
        <is>
          <t>Access share (25% discount)</t>
        </is>
      </c>
      <c r="C4" s="5" t="inlineStr">
        <is>
          <t>Maintenance multiple</t>
        </is>
      </c>
      <c r="D4" s="5" t="inlineStr">
        <is>
          <t>Conservation share</t>
        </is>
      </c>
      <c r="E4" s="5" t="inlineStr">
        <is>
          <t>Discount timing</t>
        </is>
      </c>
      <c r="F4" s="5" t="inlineStr">
        <is>
          <t>Y5 surplus (Finance plan)</t>
        </is>
      </c>
      <c r="G4" s="5" t="inlineStr">
        <is>
          <t>ARR (Finance plan)</t>
        </is>
      </c>
      <c r="H4" s="5" t="inlineStr">
        <is>
          <t>Lowest cash (Finance plan)</t>
        </is>
      </c>
      <c r="I4" s="5" t="inlineStr">
        <is>
          <t>Five-year conservation spend</t>
        </is>
      </c>
      <c r="J4" s="5" t="inlineStr">
        <is>
          <t>Simulated median Y5 surplus</t>
        </is>
      </c>
      <c r="K4" s="5" t="inlineStr">
        <is>
          <t>Share of runs below $13,100</t>
        </is>
      </c>
      <c r="L4" s="5" t="inlineStr">
        <is>
          <t>Share of runs with negative cash</t>
        </is>
      </c>
    </row>
    <row r="5">
      <c r="A5" s="6" t="inlineStr">
        <is>
          <t>Finance plan</t>
        </is>
      </c>
      <c r="B5" s="44" t="n">
        <v>0</v>
      </c>
      <c r="C5" s="45" t="n">
        <v>1</v>
      </c>
      <c r="D5" s="44" t="n">
        <v>0.5</v>
      </c>
      <c r="E5" s="2" t="inlineStr">
        <is>
          <t>n/a</t>
        </is>
      </c>
      <c r="F5" s="15" t="n">
        <v>203657.0983435237</v>
      </c>
      <c r="G5" s="17" t="n">
        <v>0.4664713327751145</v>
      </c>
      <c r="H5" s="15" t="n">
        <v>189424.145744</v>
      </c>
      <c r="I5" s="15" t="n">
        <v>431041.4916829085</v>
      </c>
      <c r="J5" s="15" t="n">
        <v>113969.9860014687</v>
      </c>
      <c r="K5" s="17" t="n">
        <v>0.169</v>
      </c>
      <c r="L5" s="17" t="n">
        <v>0.2816</v>
      </c>
    </row>
    <row r="6">
      <c r="A6" s="6" t="inlineStr">
        <is>
          <t>75% conservation share</t>
        </is>
      </c>
      <c r="B6" s="44" t="n">
        <v>0</v>
      </c>
      <c r="C6" s="45" t="n">
        <v>1</v>
      </c>
      <c r="D6" s="44" t="n">
        <v>0.75</v>
      </c>
      <c r="E6" s="2" t="inlineStr">
        <is>
          <t>n/a</t>
        </is>
      </c>
      <c r="F6" s="15" t="n">
        <v>200228.0493951783</v>
      </c>
      <c r="G6" s="17" t="n">
        <v>0.417616874285113</v>
      </c>
      <c r="H6" s="15" t="n">
        <v>189424.145744</v>
      </c>
      <c r="I6" s="15" t="n">
        <v>516767.715391544</v>
      </c>
      <c r="J6" s="15" t="n">
        <v>112098.1272201283</v>
      </c>
      <c r="K6" s="17" t="n">
        <v>0.1693</v>
      </c>
      <c r="L6" s="17" t="n">
        <v>0.2816</v>
      </c>
    </row>
    <row r="7">
      <c r="A7" s="6" t="inlineStr">
        <is>
          <t>Maintenance doubled</t>
        </is>
      </c>
      <c r="B7" s="44" t="n">
        <v>0</v>
      </c>
      <c r="C7" s="45" t="n">
        <v>2</v>
      </c>
      <c r="D7" s="44" t="n">
        <v>0.5</v>
      </c>
      <c r="E7" s="2" t="inlineStr">
        <is>
          <t>n/a</t>
        </is>
      </c>
      <c r="F7" s="15" t="n">
        <v>184449.0983435237</v>
      </c>
      <c r="G7" s="17" t="n">
        <v>0.4322781105016657</v>
      </c>
      <c r="H7" s="15" t="n">
        <v>129424.145744</v>
      </c>
      <c r="I7" s="15" t="n">
        <v>511241.4916829085</v>
      </c>
      <c r="J7" s="15" t="n">
        <v>85796.81422023321</v>
      </c>
      <c r="K7" s="17" t="n">
        <v>0.2498</v>
      </c>
      <c r="L7" s="17" t="n">
        <v>0.4524</v>
      </c>
    </row>
    <row r="8">
      <c r="A8" s="6" t="inlineStr">
        <is>
          <t>Maintenance tripled</t>
        </is>
      </c>
      <c r="B8" s="44" t="n">
        <v>0</v>
      </c>
      <c r="C8" s="45" t="n">
        <v>3</v>
      </c>
      <c r="D8" s="44" t="n">
        <v>0.5</v>
      </c>
      <c r="E8" s="2" t="inlineStr">
        <is>
          <t>n/a</t>
        </is>
      </c>
      <c r="J8" s="15" t="n">
        <v>57379.18099547864</v>
      </c>
      <c r="K8" s="17" t="n">
        <v>0.3461</v>
      </c>
      <c r="L8" s="17" t="n">
        <v>0.6197</v>
      </c>
    </row>
    <row r="9">
      <c r="A9" s="6" t="inlineStr">
        <is>
          <t>10% access from the start (50% share)</t>
        </is>
      </c>
      <c r="B9" s="44" t="n">
        <v>0.1</v>
      </c>
      <c r="C9" s="45" t="n">
        <v>1</v>
      </c>
      <c r="D9" s="44" t="n">
        <v>0.5</v>
      </c>
      <c r="E9" s="2" t="inlineStr">
        <is>
          <t>From the start</t>
        </is>
      </c>
      <c r="F9" s="15" t="n">
        <v>170088.9439919413</v>
      </c>
      <c r="G9" s="17" t="n">
        <v>0.4048691265410738</v>
      </c>
      <c r="H9" s="15" t="n">
        <v>134629.8487333998</v>
      </c>
      <c r="I9" s="15" t="n">
        <v>398076.7797719416</v>
      </c>
    </row>
    <row r="10">
      <c r="A10" s="6" t="inlineStr">
        <is>
          <t>10% access from the start (75% share)</t>
        </is>
      </c>
      <c r="B10" s="44" t="n">
        <v>0.1</v>
      </c>
      <c r="C10" s="45" t="n">
        <v>1</v>
      </c>
      <c r="D10" s="44" t="n">
        <v>0.75</v>
      </c>
      <c r="E10" s="2" t="inlineStr">
        <is>
          <t>From the start</t>
        </is>
      </c>
      <c r="J10" s="15" t="n">
        <v>82807.22891269354</v>
      </c>
      <c r="K10" s="17" t="n">
        <v>0.2459</v>
      </c>
      <c r="L10" s="17" t="n">
        <v>0.3786</v>
      </c>
    </row>
    <row r="11">
      <c r="A11" s="6" t="inlineStr">
        <is>
          <t>20% access from the start (75% share)</t>
        </is>
      </c>
      <c r="B11" s="44" t="n">
        <v>0.2</v>
      </c>
      <c r="C11" s="45" t="n">
        <v>1</v>
      </c>
      <c r="D11" s="44" t="n">
        <v>0.75</v>
      </c>
      <c r="E11" s="2" t="inlineStr">
        <is>
          <t>From the start</t>
        </is>
      </c>
      <c r="F11" s="15" t="n">
        <v>134391.3234453947</v>
      </c>
      <c r="G11" s="17" t="n">
        <v>0.312360403957607</v>
      </c>
      <c r="H11" s="15" t="n">
        <v>79835.55172279978</v>
      </c>
      <c r="I11" s="15" t="n">
        <v>418348.7227350811</v>
      </c>
      <c r="J11" s="15" t="n">
        <v>53261.70889891314</v>
      </c>
      <c r="K11" s="17" t="n">
        <v>0.3475</v>
      </c>
      <c r="L11" s="17" t="n">
        <v>0.4846</v>
      </c>
    </row>
    <row r="12">
      <c r="A12" s="11" t="inlineStr">
        <is>
          <t>10% access, conditional (75% share): recommended</t>
        </is>
      </c>
      <c r="B12" s="44" t="n">
        <v>0.1</v>
      </c>
      <c r="C12" s="45" t="n">
        <v>1</v>
      </c>
      <c r="D12" s="44" t="n">
        <v>0.75</v>
      </c>
      <c r="E12" s="2" t="inlineStr">
        <is>
          <t>After Year 2 bookings reach 9,700</t>
        </is>
      </c>
      <c r="F12" s="15" t="n">
        <v>167309.6864202865</v>
      </c>
      <c r="G12" s="17" t="n">
        <v>0.3678355267037451</v>
      </c>
      <c r="H12" s="15" t="n">
        <v>134629.8487333998</v>
      </c>
      <c r="I12" s="15" t="n">
        <v>467558.2190633125</v>
      </c>
      <c r="J12" s="15" t="n">
        <v>98567.87747120697</v>
      </c>
      <c r="K12" s="17" t="n">
        <v>0.1838</v>
      </c>
      <c r="L12" s="17" t="n">
        <v>0.3069</v>
      </c>
    </row>
    <row r="13">
      <c r="A13" s="6" t="inlineStr">
        <is>
          <t>20% access, conditional (75% share)</t>
        </is>
      </c>
      <c r="B13" s="44" t="n">
        <v>0.2</v>
      </c>
      <c r="C13" s="45" t="n">
        <v>1</v>
      </c>
      <c r="D13" s="44" t="n">
        <v>0.75</v>
      </c>
      <c r="E13" s="2" t="inlineStr">
        <is>
          <t>After Year 2 bookings reach 9,700</t>
        </is>
      </c>
      <c r="J13" s="15" t="n">
        <v>84650.1888046876</v>
      </c>
      <c r="K13" s="17" t="n">
        <v>0.2108</v>
      </c>
      <c r="L13" s="17" t="n">
        <v>0.3506</v>
      </c>
    </row>
    <row r="14">
      <c r="A14" s="6" t="inlineStr">
        <is>
          <t>30% access, conditional (75% share)</t>
        </is>
      </c>
      <c r="B14" s="44" t="n">
        <v>0.3</v>
      </c>
      <c r="C14" s="45" t="n">
        <v>1</v>
      </c>
      <c r="D14" s="44" t="n">
        <v>0.75</v>
      </c>
      <c r="E14" s="2" t="inlineStr">
        <is>
          <t>After Year 2 bookings reach 9,700</t>
        </is>
      </c>
      <c r="J14" s="15" t="n">
        <v>69780.95857006861</v>
      </c>
      <c r="K14" s="17" t="n">
        <v>0.2512</v>
      </c>
      <c r="L14" s="17" t="n">
        <v>0.4065</v>
      </c>
    </row>
    <row r="15">
      <c r="A15" s="11" t="inlineStr">
        <is>
          <t>Recommended package with maintenance doubled</t>
        </is>
      </c>
      <c r="B15" s="44" t="n">
        <v>0.1</v>
      </c>
      <c r="C15" s="45" t="n">
        <v>2</v>
      </c>
      <c r="D15" s="44" t="n">
        <v>0.75</v>
      </c>
      <c r="E15" s="2" t="inlineStr">
        <is>
          <t>After Year 2 bookings reach 9,700</t>
        </is>
      </c>
      <c r="J15" s="15" t="n">
        <v>70610.4297059755</v>
      </c>
      <c r="K15" s="17" t="n">
        <v>0.2771</v>
      </c>
      <c r="L15" s="17" t="n">
        <v>0.5002</v>
      </c>
    </row>
    <row r="17">
      <c r="A17" s="11" t="inlineStr">
        <is>
          <t>Share of simulated futures in which Year 2 bookings reach the 9,700 trigger (launch multiplier of 1.00 or more)</t>
        </is>
      </c>
      <c r="F17" s="17" t="n">
        <v>0.4475</v>
      </c>
    </row>
    <row r="18">
      <c r="A18" s="6" t="inlineStr">
        <is>
          <t>Finance plan school student-days in Year 5 (for the 10% share)</t>
        </is>
      </c>
      <c r="F18" s="9">
        <f>Scenarios!G63</f>
        <v/>
      </c>
    </row>
    <row r="19">
      <c r="A19" s="6" t="inlineStr">
        <is>
          <t>Student-days at a 10% share</t>
        </is>
      </c>
      <c r="F19" s="24">
        <f>0.1*F18</f>
        <v/>
      </c>
    </row>
    <row r="21">
      <c r="A21" s="2" t="inlineStr">
        <is>
          <t>Blank cells were not run. The model applies the discount from Year 2, which overstates its cost slightly. We have no data on how demand responds to price, so higher prices are not tested. Contingency of $92,575 is held until Year 2 volume reaches break-even (Drake, 2026b, Inputs!B9; Drake, 2026a, Break-Even!D44).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8"/>
  <sheetViews>
    <sheetView showGridLines="0" workbookViewId="0">
      <pane ySplit="4" topLeftCell="A5" activePane="bottomLeft" state="frozen"/>
      <selection pane="bottomLeft" activeCell="A1" sqref="A1"/>
    </sheetView>
  </sheetViews>
  <sheetFormatPr baseColWidth="8" defaultRowHeight="15"/>
  <cols>
    <col width="16" customWidth="1" min="1" max="1"/>
    <col width="62" customWidth="1" min="2" max="2"/>
    <col width="16" customWidth="1" min="3" max="3"/>
    <col width="16" customWidth="1" min="4" max="4"/>
    <col width="16" customWidth="1" min="5" max="5"/>
    <col width="10" customWidth="1" min="6" max="6"/>
    <col width="46" customWidth="1" min="7" max="7"/>
  </cols>
  <sheetData>
    <row r="1">
      <c r="A1" s="1" t="inlineStr">
        <is>
          <t>Chapter check: every figure in the chapter against this workbook</t>
        </is>
      </c>
    </row>
    <row r="2">
      <c r="A2" s="2" t="inlineStr">
        <is>
          <t>Chapter value = the number as written in the chapter (rounded). Workbook value = live link to the cell that produces it (blue = static value from a Finance workbook). Check = OK if the two agree within the tolerance.</t>
        </is>
      </c>
    </row>
    <row r="4">
      <c r="A4" s="5" t="inlineStr">
        <is>
          <t>Chapter part</t>
        </is>
      </c>
      <c r="B4" s="5" t="inlineStr">
        <is>
          <t>Statement in the chapter</t>
        </is>
      </c>
      <c r="C4" s="5" t="inlineStr">
        <is>
          <t>Chapter value</t>
        </is>
      </c>
      <c r="D4" s="5" t="inlineStr">
        <is>
          <t>Workbook value</t>
        </is>
      </c>
      <c r="E4" s="5" t="inlineStr">
        <is>
          <t>Tolerance</t>
        </is>
      </c>
      <c r="F4" s="5" t="inlineStr">
        <is>
          <t>Check</t>
        </is>
      </c>
      <c r="G4" s="5" t="inlineStr">
        <is>
          <t>Where it comes from</t>
        </is>
      </c>
    </row>
    <row r="5">
      <c r="A5" s="6" t="inlineStr">
        <is>
          <t>Comparators</t>
        </is>
      </c>
      <c r="B5" s="6" t="inlineStr">
        <is>
          <t>Stewart House expense ratio</t>
        </is>
      </c>
      <c r="C5" s="17" t="n">
        <v>1.48</v>
      </c>
      <c r="D5" s="8">
        <f>Comparators!B15</f>
        <v/>
      </c>
      <c r="E5" s="46" t="n">
        <v>0.005</v>
      </c>
      <c r="F5" s="6">
        <f>IF(ABS(D5-C5)&lt;=E5,"OK","CHECK")</f>
        <v/>
      </c>
      <c r="G5" s="2" t="inlineStr">
        <is>
          <t>(Quang, 2026); (Stewart House, 2025)</t>
        </is>
      </c>
    </row>
    <row r="6">
      <c r="A6" s="6" t="inlineStr">
        <is>
          <t>Comparators</t>
        </is>
      </c>
      <c r="B6" s="6" t="inlineStr">
        <is>
          <t>Crusader Union expense ratio</t>
        </is>
      </c>
      <c r="C6" s="17" t="n">
        <v>0.99</v>
      </c>
      <c r="D6" s="8">
        <f>Comparators!C15</f>
        <v/>
      </c>
      <c r="E6" s="46" t="n">
        <v>0.005</v>
      </c>
      <c r="F6" s="6">
        <f>IF(ABS(D6-C6)&lt;=E6,"OK","CHECK")</f>
        <v/>
      </c>
      <c r="G6" s="2" t="inlineStr">
        <is>
          <t>(Quang, 2026); (Crusader Union, 2025)</t>
        </is>
      </c>
    </row>
    <row r="7">
      <c r="A7" s="6" t="inlineStr">
        <is>
          <t>Comparators</t>
        </is>
      </c>
      <c r="B7" s="6" t="inlineStr">
        <is>
          <t>YMCA Camping expense ratio</t>
        </is>
      </c>
      <c r="C7" s="17" t="n">
        <v>0.92</v>
      </c>
      <c r="D7" s="8">
        <f>Comparators!D15</f>
        <v/>
      </c>
      <c r="E7" s="46" t="n">
        <v>0.005</v>
      </c>
      <c r="F7" s="6">
        <f>IF(ABS(D7-C7)&lt;=E7,"OK","CHECK")</f>
        <v/>
      </c>
      <c r="G7" s="2" t="inlineStr">
        <is>
          <t>(Quang, 2026); (YMCA Camping Ltd, 2025)</t>
        </is>
      </c>
    </row>
    <row r="8">
      <c r="A8" s="6" t="inlineStr">
        <is>
          <t>Comparators</t>
        </is>
      </c>
      <c r="B8" s="6" t="inlineStr">
        <is>
          <t>Employee costs: YMCA Camping</t>
        </is>
      </c>
      <c r="C8" s="17" t="n">
        <v>0.49</v>
      </c>
      <c r="D8" s="8">
        <f>Comparators!D16</f>
        <v/>
      </c>
      <c r="E8" s="46" t="n">
        <v>0.005</v>
      </c>
      <c r="F8" s="6">
        <f>IF(ABS(D8-C8)&lt;=E8,"OK","CHECK")</f>
        <v/>
      </c>
      <c r="G8" s="2" t="inlineStr">
        <is>
          <t>Comparators sheet</t>
        </is>
      </c>
    </row>
    <row r="9">
      <c r="A9" s="6" t="inlineStr">
        <is>
          <t>Comparators</t>
        </is>
      </c>
      <c r="B9" s="6" t="inlineStr">
        <is>
          <t>Employee costs: Crusader Union</t>
        </is>
      </c>
      <c r="C9" s="17" t="n">
        <v>0.53</v>
      </c>
      <c r="D9" s="8">
        <f>Comparators!C16</f>
        <v/>
      </c>
      <c r="E9" s="46" t="n">
        <v>0.005</v>
      </c>
      <c r="F9" s="6">
        <f>IF(ABS(D9-C9)&lt;=E9,"OK","CHECK")</f>
        <v/>
      </c>
      <c r="G9" s="2" t="inlineStr">
        <is>
          <t>Comparators sheet</t>
        </is>
      </c>
    </row>
    <row r="10">
      <c r="A10" s="6" t="inlineStr">
        <is>
          <t>Comparators</t>
        </is>
      </c>
      <c r="B10" s="6" t="inlineStr">
        <is>
          <t>Employee costs: Stewart House</t>
        </is>
      </c>
      <c r="C10" s="17" t="n">
        <v>0.96</v>
      </c>
      <c r="D10" s="8">
        <f>Comparators!B16</f>
        <v/>
      </c>
      <c r="E10" s="46" t="n">
        <v>0.005</v>
      </c>
      <c r="F10" s="6">
        <f>IF(ABS(D10-C10)&lt;=E10,"OK","CHECK")</f>
        <v/>
      </c>
      <c r="G10" s="2" t="inlineStr">
        <is>
          <t>Comparators sheet</t>
        </is>
      </c>
    </row>
    <row r="11">
      <c r="A11" s="6" t="inlineStr">
        <is>
          <t>Comparators</t>
        </is>
      </c>
      <c r="B11" s="6" t="inlineStr">
        <is>
          <t>YMCA Camping surplus margin</t>
        </is>
      </c>
      <c r="C11" s="17" t="n">
        <v>0.077</v>
      </c>
      <c r="D11" s="8">
        <f>Comparators!D17</f>
        <v/>
      </c>
      <c r="E11" s="46" t="n">
        <v>0.0005</v>
      </c>
      <c r="F11" s="6">
        <f>IF(ABS(D11-C11)&lt;=E11,"OK","CHECK")</f>
        <v/>
      </c>
      <c r="G11" s="2" t="inlineStr">
        <is>
          <t>Comparators sheet</t>
        </is>
      </c>
    </row>
    <row r="12">
      <c r="A12" s="6" t="inlineStr">
        <is>
          <t>Comparators</t>
        </is>
      </c>
      <c r="B12" s="6" t="inlineStr">
        <is>
          <t>Growth range: lowest</t>
        </is>
      </c>
      <c r="C12" s="37" t="n">
        <v>0.048</v>
      </c>
      <c r="D12" s="47">
        <f>Inputs!D36</f>
        <v/>
      </c>
      <c r="E12" s="46" t="n">
        <v>0.0005</v>
      </c>
      <c r="F12" s="6">
        <f>IF(ABS(D12-C12)&lt;=E12,"OK","CHECK")</f>
        <v/>
      </c>
      <c r="G12" s="2" t="inlineStr">
        <is>
          <t>Inputs sheet</t>
        </is>
      </c>
    </row>
    <row r="13">
      <c r="A13" s="6" t="inlineStr">
        <is>
          <t>Comparators</t>
        </is>
      </c>
      <c r="B13" s="6" t="inlineStr">
        <is>
          <t>Growth range: mean</t>
        </is>
      </c>
      <c r="C13" s="37" t="n">
        <v>0.062</v>
      </c>
      <c r="D13" s="47">
        <f>Inputs!D37</f>
        <v/>
      </c>
      <c r="E13" s="46" t="n">
        <v>0.0005</v>
      </c>
      <c r="F13" s="6">
        <f>IF(ABS(D13-C13)&lt;=E13,"OK","CHECK")</f>
        <v/>
      </c>
      <c r="G13" s="2" t="inlineStr">
        <is>
          <t>Inputs sheet</t>
        </is>
      </c>
    </row>
    <row r="14">
      <c r="A14" s="6" t="inlineStr">
        <is>
          <t>Comparators</t>
        </is>
      </c>
      <c r="B14" s="6" t="inlineStr">
        <is>
          <t>Growth range: highest</t>
        </is>
      </c>
      <c r="C14" s="37" t="n">
        <v>0.08500000000000001</v>
      </c>
      <c r="D14" s="47">
        <f>Inputs!D38</f>
        <v/>
      </c>
      <c r="E14" s="46" t="n">
        <v>0.0005</v>
      </c>
      <c r="F14" s="6">
        <f>IF(ABS(D14-C14)&lt;=E14,"OK","CHECK")</f>
        <v/>
      </c>
      <c r="G14" s="2" t="inlineStr">
        <is>
          <t>Inputs sheet</t>
        </is>
      </c>
    </row>
    <row r="15">
      <c r="A15" s="6" t="inlineStr">
        <is>
          <t>Comparators</t>
        </is>
      </c>
      <c r="B15" s="6" t="inlineStr">
        <is>
          <t>Crusader Union capital-campaign donations, latest year</t>
        </is>
      </c>
      <c r="C15" s="15" t="n">
        <v>760000</v>
      </c>
      <c r="D15" s="10">
        <f>Comparators!C22</f>
        <v/>
      </c>
      <c r="E15" s="23" t="n">
        <v>500</v>
      </c>
      <c r="F15" s="6">
        <f>IF(ABS(D15-C15)&lt;=E15,"OK","CHECK")</f>
        <v/>
      </c>
      <c r="G15" s="2" t="inlineStr">
        <is>
          <t>(Crusader Union, 2025)</t>
        </is>
      </c>
    </row>
    <row r="16">
      <c r="A16" s="6" t="inlineStr">
        <is>
          <t>Comparators</t>
        </is>
      </c>
      <c r="B16" s="6" t="inlineStr">
        <is>
          <t>Crusader Union capital-campaign donations, year before</t>
        </is>
      </c>
      <c r="C16" s="15" t="n">
        <v>8000</v>
      </c>
      <c r="D16" s="10">
        <f>Comparators!C23</f>
        <v/>
      </c>
      <c r="E16" s="23" t="n">
        <v>500</v>
      </c>
      <c r="F16" s="6">
        <f>IF(ABS(D16-C16)&lt;=E16,"OK","CHECK")</f>
        <v/>
      </c>
      <c r="G16" s="2" t="inlineStr">
        <is>
          <t>(Crusader Union, 2025)</t>
        </is>
      </c>
    </row>
    <row r="17">
      <c r="A17" s="6" t="inlineStr">
        <is>
          <t>Comparators</t>
        </is>
      </c>
      <c r="B17" s="6" t="inlineStr">
        <is>
          <t>Crusader Union expense ratio without donations</t>
        </is>
      </c>
      <c r="C17" s="17" t="n">
        <v>1.03</v>
      </c>
      <c r="D17" s="8">
        <f>Comparators!C24</f>
        <v/>
      </c>
      <c r="E17" s="46" t="n">
        <v>0.005</v>
      </c>
      <c r="F17" s="6">
        <f>IF(ABS(D17-C17)&lt;=E17,"OK","CHECK")</f>
        <v/>
      </c>
      <c r="G17" s="2" t="inlineStr">
        <is>
          <t>Comparators sheet</t>
        </is>
      </c>
    </row>
    <row r="18">
      <c r="A18" s="6" t="inlineStr">
        <is>
          <t>Comparators</t>
        </is>
      </c>
      <c r="B18" s="6" t="inlineStr">
        <is>
          <t>Stewart House deficit as share of revenue</t>
        </is>
      </c>
      <c r="C18" s="17" t="n">
        <v>-0.48</v>
      </c>
      <c r="D18" s="8">
        <f>Comparators!B17</f>
        <v/>
      </c>
      <c r="E18" s="46" t="n">
        <v>0.005</v>
      </c>
      <c r="F18" s="6">
        <f>IF(ABS(D18-C18)&lt;=E18,"OK","CHECK")</f>
        <v/>
      </c>
      <c r="G18" s="2" t="inlineStr">
        <is>
          <t>Comparators sheet</t>
        </is>
      </c>
    </row>
    <row r="19">
      <c r="A19" s="6" t="inlineStr">
        <is>
          <t>Comparators</t>
        </is>
      </c>
      <c r="B19" s="6" t="inlineStr">
        <is>
          <t>Stewart House donations share of income</t>
        </is>
      </c>
      <c r="C19" s="17" t="n">
        <v>0.79</v>
      </c>
      <c r="D19" s="8">
        <f>Comparators!B28</f>
        <v/>
      </c>
      <c r="E19" s="46" t="n">
        <v>0.005</v>
      </c>
      <c r="F19" s="6">
        <f>IF(ABS(D19-C19)&lt;=E19,"OK","CHECK")</f>
        <v/>
      </c>
      <c r="G19" s="2" t="inlineStr">
        <is>
          <t>(Stewart House, 2025)</t>
        </is>
      </c>
    </row>
    <row r="20">
      <c r="A20" s="6" t="inlineStr">
        <is>
          <t>Demand</t>
        </is>
      </c>
      <c r="B20" s="6" t="inlineStr">
        <is>
          <t>Finance Year 2 launch volume (student-days)</t>
        </is>
      </c>
      <c r="C20" s="19" t="n">
        <v>9720</v>
      </c>
      <c r="D20" s="9">
        <f>Inputs!D56</f>
        <v/>
      </c>
      <c r="E20" s="46" t="n">
        <v>0.5</v>
      </c>
      <c r="F20" s="6">
        <f>IF(ABS(D20-C20)&lt;=E20,"OK","CHECK")</f>
        <v/>
      </c>
      <c r="G20" s="2" t="inlineStr">
        <is>
          <t>(Drake, 2026a) Volumes</t>
        </is>
      </c>
    </row>
    <row r="21">
      <c r="A21" s="6" t="inlineStr">
        <is>
          <t>Demand</t>
        </is>
      </c>
      <c r="B21" s="6" t="inlineStr">
        <is>
          <t>Low launch size as share of Base (50 of 72)</t>
        </is>
      </c>
      <c r="C21" s="17" t="n">
        <v>0.6899999999999999</v>
      </c>
      <c r="D21" s="8">
        <f>Inputs!$C$42</f>
        <v/>
      </c>
      <c r="E21" s="46" t="n">
        <v>0.005</v>
      </c>
      <c r="F21" s="6">
        <f>IF(ABS(D21-C21)&lt;=E21,"OK","CHECK")</f>
        <v/>
      </c>
      <c r="G21" s="2" t="inlineStr">
        <is>
          <t>Inputs sheet</t>
        </is>
      </c>
    </row>
    <row r="22">
      <c r="A22" s="6" t="inlineStr">
        <is>
          <t>Demand</t>
        </is>
      </c>
      <c r="B22" s="6" t="inlineStr">
        <is>
          <t>High launch size as share of Base (90 of 72)</t>
        </is>
      </c>
      <c r="C22" s="17" t="n">
        <v>1.25</v>
      </c>
      <c r="D22" s="8">
        <f>Inputs!$C$44</f>
        <v/>
      </c>
      <c r="E22" s="46" t="n">
        <v>0.005</v>
      </c>
      <c r="F22" s="6">
        <f>IF(ABS(D22-C22)&lt;=E22,"OK","CHECK")</f>
        <v/>
      </c>
      <c r="G22" s="2" t="inlineStr">
        <is>
          <t>Inputs sheet</t>
        </is>
      </c>
    </row>
    <row r="23">
      <c r="A23" s="6" t="inlineStr">
        <is>
          <t>Demand</t>
        </is>
      </c>
      <c r="B23" s="6" t="inlineStr">
        <is>
          <t>Year 5 student-days, Low</t>
        </is>
      </c>
      <c r="C23" s="19" t="n">
        <v>7764</v>
      </c>
      <c r="D23" s="9">
        <f>Summary!B7</f>
        <v/>
      </c>
      <c r="E23" s="46" t="n">
        <v>0.5</v>
      </c>
      <c r="F23" s="6">
        <f>IF(ABS(D23-C23)&lt;=E23,"OK","CHECK")</f>
        <v/>
      </c>
      <c r="G23" s="2" t="inlineStr">
        <is>
          <t>Summary</t>
        </is>
      </c>
    </row>
    <row r="24">
      <c r="A24" s="6" t="inlineStr">
        <is>
          <t>Demand</t>
        </is>
      </c>
      <c r="B24" s="6" t="inlineStr">
        <is>
          <t>Year 5 student-days, Base</t>
        </is>
      </c>
      <c r="C24" s="19" t="n">
        <v>11654</v>
      </c>
      <c r="D24" s="9">
        <f>Summary!C7</f>
        <v/>
      </c>
      <c r="E24" s="46" t="n">
        <v>0.5</v>
      </c>
      <c r="F24" s="6">
        <f>IF(ABS(D24-C24)&lt;=E24,"OK","CHECK")</f>
        <v/>
      </c>
      <c r="G24" s="2" t="inlineStr">
        <is>
          <t>Summary</t>
        </is>
      </c>
    </row>
    <row r="25">
      <c r="A25" s="6" t="inlineStr">
        <is>
          <t>Demand</t>
        </is>
      </c>
      <c r="B25" s="6" t="inlineStr">
        <is>
          <t>Year 5 student-days, High</t>
        </is>
      </c>
      <c r="C25" s="19" t="n">
        <v>15535</v>
      </c>
      <c r="D25" s="9">
        <f>Summary!E7</f>
        <v/>
      </c>
      <c r="E25" s="46" t="n">
        <v>0.5</v>
      </c>
      <c r="F25" s="6">
        <f>IF(ABS(D25-C25)&lt;=E25,"OK","CHECK")</f>
        <v/>
      </c>
      <c r="G25" s="2" t="inlineStr">
        <is>
          <t>Summary</t>
        </is>
      </c>
    </row>
    <row r="26">
      <c r="A26" s="6" t="inlineStr">
        <is>
          <t>Demand</t>
        </is>
      </c>
      <c r="B26" s="6" t="inlineStr">
        <is>
          <t>Finance Year 5 student-days</t>
        </is>
      </c>
      <c r="C26" s="19" t="n">
        <v>12897</v>
      </c>
      <c r="D26" s="9">
        <f>Summary!D7</f>
        <v/>
      </c>
      <c r="E26" s="46" t="n">
        <v>0.5</v>
      </c>
      <c r="F26" s="6">
        <f>IF(ABS(D26-C26)&lt;=E26,"OK","CHECK")</f>
        <v/>
      </c>
      <c r="G26" s="2" t="inlineStr">
        <is>
          <t>Summary</t>
        </is>
      </c>
    </row>
    <row r="27">
      <c r="A27" s="6" t="inlineStr">
        <is>
          <t>Demand</t>
        </is>
      </c>
      <c r="B27" s="6" t="inlineStr">
        <is>
          <t>Finance Year 5 break-even (student-days)</t>
        </is>
      </c>
      <c r="C27" s="19" t="n">
        <v>10486</v>
      </c>
      <c r="D27" s="19" t="n">
        <v>10486</v>
      </c>
      <c r="E27" s="46" t="n">
        <v>0.5</v>
      </c>
      <c r="F27" s="6">
        <f>IF(ABS(D27-C27)&lt;=E27,"OK","CHECK")</f>
        <v/>
      </c>
      <c r="G27" s="2" t="inlineStr">
        <is>
          <t>(Drake, 2026a) Break-Even!G44</t>
        </is>
      </c>
    </row>
    <row r="28">
      <c r="A28" s="6" t="inlineStr">
        <is>
          <t>Demand</t>
        </is>
      </c>
      <c r="B28" s="6" t="inlineStr">
        <is>
          <t>Base Year 2 volume above Finance Year 2 break-even (9,687)</t>
        </is>
      </c>
      <c r="C28" s="37" t="n">
        <v>0.003</v>
      </c>
      <c r="D28" s="47">
        <f>Scenarios!D34/9687-1</f>
        <v/>
      </c>
      <c r="E28" s="46" t="n">
        <v>0.0005</v>
      </c>
      <c r="F28" s="6">
        <f>IF(ABS(D28-C28)&lt;=E28,"OK","CHECK")</f>
        <v/>
      </c>
      <c r="G28" s="2" t="inlineStr">
        <is>
          <t>(Drake, 2026a) Break-Even!D44</t>
        </is>
      </c>
    </row>
    <row r="29">
      <c r="A29" s="6" t="inlineStr">
        <is>
          <t>Demand</t>
        </is>
      </c>
      <c r="B29" s="6" t="inlineStr">
        <is>
          <t>Occupancy, lowest (Low, Year 2)</t>
        </is>
      </c>
      <c r="C29" s="17" t="n">
        <v>0.1</v>
      </c>
      <c r="D29" s="8">
        <f>Scenarios!D6</f>
        <v/>
      </c>
      <c r="E29" s="46" t="n">
        <v>0.005</v>
      </c>
      <c r="F29" s="6">
        <f>IF(ABS(D29-C29)&lt;=E29,"OK","CHECK")</f>
        <v/>
      </c>
      <c r="G29" s="2" t="inlineStr">
        <is>
          <t>Scenarios</t>
        </is>
      </c>
    </row>
    <row r="30">
      <c r="A30" s="6" t="inlineStr">
        <is>
          <t>Demand</t>
        </is>
      </c>
      <c r="B30" s="6" t="inlineStr">
        <is>
          <t>Occupancy, highest (High, Year 5)</t>
        </is>
      </c>
      <c r="C30" s="17" t="n">
        <v>0.23</v>
      </c>
      <c r="D30" s="8">
        <f>Scenarios!G93</f>
        <v/>
      </c>
      <c r="E30" s="46" t="n">
        <v>0.005</v>
      </c>
      <c r="F30" s="6">
        <f>IF(ABS(D30-C30)&lt;=E30,"OK","CHECK")</f>
        <v/>
      </c>
      <c r="G30" s="2" t="inlineStr">
        <is>
          <t>Scenarios</t>
        </is>
      </c>
    </row>
    <row r="31">
      <c r="A31" s="6" t="inlineStr">
        <is>
          <t>Demand</t>
        </is>
      </c>
      <c r="B31" s="6" t="inlineStr">
        <is>
          <t>Capacity (student-days)</t>
        </is>
      </c>
      <c r="C31" s="19" t="n">
        <v>67500</v>
      </c>
      <c r="D31" s="9">
        <f>Inputs!$B$21</f>
        <v/>
      </c>
      <c r="E31" s="46" t="n">
        <v>0.5</v>
      </c>
      <c r="F31" s="6">
        <f>IF(ABS(D31-C31)&lt;=E31,"OK","CHECK")</f>
        <v/>
      </c>
      <c r="G31" s="2" t="inlineStr">
        <is>
          <t>(Drake, 2026a) Assumptions</t>
        </is>
      </c>
    </row>
    <row r="32">
      <c r="A32" s="6" t="inlineStr">
        <is>
          <t>Return</t>
        </is>
      </c>
      <c r="B32" s="6" t="inlineStr">
        <is>
          <t>Year 5 surplus, Low</t>
        </is>
      </c>
      <c r="C32" s="15" t="n">
        <v>-92000</v>
      </c>
      <c r="D32" s="10">
        <f>Summary!B10</f>
        <v/>
      </c>
      <c r="E32" s="23" t="n">
        <v>500</v>
      </c>
      <c r="F32" s="6">
        <f>IF(ABS(D32-C32)&lt;=E32,"OK","CHECK")</f>
        <v/>
      </c>
      <c r="G32" s="2" t="inlineStr">
        <is>
          <t>Summary</t>
        </is>
      </c>
    </row>
    <row r="33">
      <c r="A33" s="6" t="inlineStr">
        <is>
          <t>Return</t>
        </is>
      </c>
      <c r="B33" s="6" t="inlineStr">
        <is>
          <t>Year 5 surplus, Base</t>
        </is>
      </c>
      <c r="C33" s="15" t="n">
        <v>133000</v>
      </c>
      <c r="D33" s="10">
        <f>Summary!C10</f>
        <v/>
      </c>
      <c r="E33" s="23" t="n">
        <v>500</v>
      </c>
      <c r="F33" s="6">
        <f>IF(ABS(D33-C33)&lt;=E33,"OK","CHECK")</f>
        <v/>
      </c>
      <c r="G33" s="2" t="inlineStr">
        <is>
          <t>Summary</t>
        </is>
      </c>
    </row>
    <row r="34">
      <c r="A34" s="6" t="inlineStr">
        <is>
          <t>Return</t>
        </is>
      </c>
      <c r="B34" s="6" t="inlineStr">
        <is>
          <t>Year 5 surplus, Finance</t>
        </is>
      </c>
      <c r="C34" s="15" t="n">
        <v>204000</v>
      </c>
      <c r="D34" s="10">
        <f>Summary!D10</f>
        <v/>
      </c>
      <c r="E34" s="23" t="n">
        <v>500</v>
      </c>
      <c r="F34" s="6">
        <f>IF(ABS(D34-C34)&lt;=E34,"OK","CHECK")</f>
        <v/>
      </c>
      <c r="G34" s="2" t="inlineStr">
        <is>
          <t>Summary; (Drake, 2026b) Calculations!H84</t>
        </is>
      </c>
    </row>
    <row r="35">
      <c r="A35" s="6" t="inlineStr">
        <is>
          <t>Return</t>
        </is>
      </c>
      <c r="B35" s="6" t="inlineStr">
        <is>
          <t>Year 5 surplus, High</t>
        </is>
      </c>
      <c r="C35" s="15" t="n">
        <v>350000</v>
      </c>
      <c r="D35" s="10">
        <f>Summary!E10</f>
        <v/>
      </c>
      <c r="E35" s="23" t="n">
        <v>500</v>
      </c>
      <c r="F35" s="6">
        <f>IF(ABS(D35-C35)&lt;=E35,"OK","CHECK")</f>
        <v/>
      </c>
      <c r="G35" s="2" t="inlineStr">
        <is>
          <t>Summary</t>
        </is>
      </c>
    </row>
    <row r="36">
      <c r="A36" s="6" t="inlineStr">
        <is>
          <t>Return</t>
        </is>
      </c>
      <c r="B36" s="6" t="inlineStr">
        <is>
          <t>Average investment</t>
        </is>
      </c>
      <c r="C36" s="15" t="n">
        <v>437000</v>
      </c>
      <c r="D36" s="10">
        <f>Summary!D12</f>
        <v/>
      </c>
      <c r="E36" s="23" t="n">
        <v>500</v>
      </c>
      <c r="F36" s="6">
        <f>IF(ABS(D36-C36)&lt;=E36,"OK","CHECK")</f>
        <v/>
      </c>
      <c r="G36" s="2" t="inlineStr">
        <is>
          <t>(Drake, 2026b) Calculations!H83</t>
        </is>
      </c>
    </row>
    <row r="37">
      <c r="A37" s="6" t="inlineStr">
        <is>
          <t>Return</t>
        </is>
      </c>
      <c r="B37" s="6" t="inlineStr">
        <is>
          <t>Hurdle surplus (3% of average investment)</t>
        </is>
      </c>
      <c r="C37" s="15" t="n">
        <v>13100</v>
      </c>
      <c r="D37" s="10">
        <f>Summary!D13</f>
        <v/>
      </c>
      <c r="E37" s="23" t="n">
        <v>50</v>
      </c>
      <c r="F37" s="6">
        <f>IF(ABS(D37-C37)&lt;=E37,"OK","CHECK")</f>
        <v/>
      </c>
      <c r="G37" s="2" t="inlineStr">
        <is>
          <t>Summary</t>
        </is>
      </c>
    </row>
    <row r="38">
      <c r="A38" s="6" t="inlineStr">
        <is>
          <t>Return</t>
        </is>
      </c>
      <c r="B38" s="6" t="inlineStr">
        <is>
          <t>Finance ARR, Year 5</t>
        </is>
      </c>
      <c r="C38" s="17" t="n">
        <v>0.47</v>
      </c>
      <c r="D38" s="8">
        <f>Summary!D15</f>
        <v/>
      </c>
      <c r="E38" s="46" t="n">
        <v>0.005</v>
      </c>
      <c r="F38" s="6">
        <f>IF(ABS(D38-C38)&lt;=E38,"OK","CHECK")</f>
        <v/>
      </c>
      <c r="G38" s="2" t="inlineStr">
        <is>
          <t>(Drake, 2026b) Calculations!H85</t>
        </is>
      </c>
    </row>
    <row r="39">
      <c r="A39" s="6" t="inlineStr">
        <is>
          <t>Sensitivity</t>
        </is>
      </c>
      <c r="B39" s="6" t="inlineStr">
        <is>
          <t>Volume -20%: Year 5 surplus</t>
        </is>
      </c>
      <c r="C39" s="15" t="n">
        <v>57000</v>
      </c>
      <c r="D39" s="10">
        <f>Sensitivity!D5</f>
        <v/>
      </c>
      <c r="E39" s="23" t="n">
        <v>500</v>
      </c>
      <c r="F39" s="6">
        <f>IF(ABS(D39-C39)&lt;=E39,"OK","CHECK")</f>
        <v/>
      </c>
      <c r="G39" s="2" t="inlineStr">
        <is>
          <t>Sensitivity</t>
        </is>
      </c>
    </row>
    <row r="40">
      <c r="A40" s="6" t="inlineStr">
        <is>
          <t>Sensitivity</t>
        </is>
      </c>
      <c r="B40" s="6" t="inlineStr">
        <is>
          <t>Volume +20%: Year 5 surplus</t>
        </is>
      </c>
      <c r="C40" s="15" t="n">
        <v>348000</v>
      </c>
      <c r="D40" s="10">
        <f>Sensitivity!E5</f>
        <v/>
      </c>
      <c r="E40" s="23" t="n">
        <v>500</v>
      </c>
      <c r="F40" s="6">
        <f>IF(ABS(D40-C40)&lt;=E40,"OK","CHECK")</f>
        <v/>
      </c>
      <c r="G40" s="2" t="inlineStr">
        <is>
          <t>Sensitivity</t>
        </is>
      </c>
    </row>
    <row r="41">
      <c r="A41" s="6" t="inlineStr">
        <is>
          <t>Sensitivity</t>
        </is>
      </c>
      <c r="B41" s="6" t="inlineStr">
        <is>
          <t>Price -10%: Year 5 surplus</t>
        </is>
      </c>
      <c r="C41" s="15" t="n">
        <v>69000</v>
      </c>
      <c r="D41" s="10">
        <f>Sensitivity!D6</f>
        <v/>
      </c>
      <c r="E41" s="23" t="n">
        <v>500</v>
      </c>
      <c r="F41" s="6">
        <f>IF(ABS(D41-C41)&lt;=E41,"OK","CHECK")</f>
        <v/>
      </c>
      <c r="G41" s="2" t="inlineStr">
        <is>
          <t>Sensitivity</t>
        </is>
      </c>
    </row>
    <row r="42">
      <c r="A42" s="6" t="inlineStr">
        <is>
          <t>Sensitivity</t>
        </is>
      </c>
      <c r="B42" s="6" t="inlineStr">
        <is>
          <t>Price +10%: Year 5 surplus</t>
        </is>
      </c>
      <c r="C42" s="15" t="n">
        <v>336000</v>
      </c>
      <c r="D42" s="10">
        <f>Sensitivity!E6</f>
        <v/>
      </c>
      <c r="E42" s="23" t="n">
        <v>500</v>
      </c>
      <c r="F42" s="6">
        <f>IF(ABS(D42-C42)&lt;=E42,"OK","CHECK")</f>
        <v/>
      </c>
      <c r="G42" s="2" t="inlineStr">
        <is>
          <t>Sensitivity</t>
        </is>
      </c>
    </row>
    <row r="43">
      <c r="A43" s="6" t="inlineStr">
        <is>
          <t>Sensitivity</t>
        </is>
      </c>
      <c r="B43" s="6" t="inlineStr">
        <is>
          <t>Contractor rates +25%: Year 5 surplus</t>
        </is>
      </c>
      <c r="C43" s="15" t="n">
        <v>104000</v>
      </c>
      <c r="D43" s="10">
        <f>Sensitivity!D7</f>
        <v/>
      </c>
      <c r="E43" s="23" t="n">
        <v>500</v>
      </c>
      <c r="F43" s="6">
        <f>IF(ABS(D43-C43)&lt;=E43,"OK","CHECK")</f>
        <v/>
      </c>
      <c r="G43" s="2" t="inlineStr">
        <is>
          <t>Sensitivity</t>
        </is>
      </c>
    </row>
    <row r="44">
      <c r="A44" s="6" t="inlineStr">
        <is>
          <t>Sensitivity</t>
        </is>
      </c>
      <c r="B44" s="6" t="inlineStr">
        <is>
          <t>Contractor rates -25%: Year 5 surplus</t>
        </is>
      </c>
      <c r="C44" s="15" t="n">
        <v>302000</v>
      </c>
      <c r="D44" s="10">
        <f>Sensitivity!E7</f>
        <v/>
      </c>
      <c r="E44" s="23" t="n">
        <v>500</v>
      </c>
      <c r="F44" s="6">
        <f>IF(ABS(D44-C44)&lt;=E44,"OK","CHECK")</f>
        <v/>
      </c>
      <c r="G44" s="2" t="inlineStr">
        <is>
          <t>Sensitivity</t>
        </is>
      </c>
    </row>
    <row r="45">
      <c r="A45" s="6" t="inlineStr">
        <is>
          <t>Sensitivity</t>
        </is>
      </c>
      <c r="B45" s="6" t="inlineStr">
        <is>
          <t>No wet hire: Year 5 surplus</t>
        </is>
      </c>
      <c r="C45" s="15" t="n">
        <v>134000</v>
      </c>
      <c r="D45" s="10">
        <f>Sensitivity!D9</f>
        <v/>
      </c>
      <c r="E45" s="23" t="n">
        <v>500</v>
      </c>
      <c r="F45" s="6">
        <f>IF(ABS(D45-C45)&lt;=E45,"OK","CHECK")</f>
        <v/>
      </c>
      <c r="G45" s="2" t="inlineStr">
        <is>
          <t>Sensitivity</t>
        </is>
      </c>
    </row>
    <row r="46">
      <c r="A46" s="6" t="inlineStr">
        <is>
          <t>Sensitivity</t>
        </is>
      </c>
      <c r="B46" s="6" t="inlineStr">
        <is>
          <t>Wet hire share of Year 5 revenue</t>
        </is>
      </c>
      <c r="C46" s="17" t="n">
        <v>0.26</v>
      </c>
      <c r="D46" s="8">
        <f>Scenarios!G71/Scenarios!G72</f>
        <v/>
      </c>
      <c r="E46" s="46" t="n">
        <v>0.005</v>
      </c>
      <c r="F46" s="6">
        <f>IF(ABS(D46-C46)&lt;=E46,"OK","CHECK")</f>
        <v/>
      </c>
      <c r="G46" s="2" t="inlineStr">
        <is>
          <t>Scenarios</t>
        </is>
      </c>
    </row>
    <row r="47">
      <c r="A47" s="6" t="inlineStr">
        <is>
          <t>Sensitivity</t>
        </is>
      </c>
      <c r="B47" s="6" t="inlineStr">
        <is>
          <t>Volume at which surplus reaches the hurdle (share of plan)</t>
        </is>
      </c>
      <c r="C47" s="17" t="n">
        <v>0.74</v>
      </c>
      <c r="D47" s="8">
        <f>Sensitivity!I5</f>
        <v/>
      </c>
      <c r="E47" s="46" t="n">
        <v>0.005</v>
      </c>
      <c r="F47" s="6">
        <f>IF(ABS(D47-C47)&lt;=E47,"OK","CHECK")</f>
        <v/>
      </c>
      <c r="G47" s="2" t="inlineStr">
        <is>
          <t>Sensitivity</t>
        </is>
      </c>
    </row>
    <row r="48">
      <c r="A48" s="6" t="inlineStr">
        <is>
          <t>Sensitivity</t>
        </is>
      </c>
      <c r="B48" s="6" t="inlineStr">
        <is>
          <t>Price at which surplus reaches the hurdle (share of plan)</t>
        </is>
      </c>
      <c r="C48" s="17" t="n">
        <v>0.86</v>
      </c>
      <c r="D48" s="8">
        <f>Sensitivity!I6</f>
        <v/>
      </c>
      <c r="E48" s="46" t="n">
        <v>0.005</v>
      </c>
      <c r="F48" s="6">
        <f>IF(ABS(D48-C48)&lt;=E48,"OK","CHECK")</f>
        <v/>
      </c>
      <c r="G48" s="2" t="inlineStr">
        <is>
          <t>Sensitivity</t>
        </is>
      </c>
    </row>
    <row r="49">
      <c r="A49" s="6" t="inlineStr">
        <is>
          <t>Sensitivity</t>
        </is>
      </c>
      <c r="B49" s="6" t="inlineStr">
        <is>
          <t>Contractor rise at which surplus reaches the hurdle</t>
        </is>
      </c>
      <c r="C49" s="17" t="n">
        <v>0.48</v>
      </c>
      <c r="D49" s="8">
        <f>Sensitivity!I7-1</f>
        <v/>
      </c>
      <c r="E49" s="46" t="n">
        <v>0.005</v>
      </c>
      <c r="F49" s="6">
        <f>IF(ABS(D49-C49)&lt;=E49,"OK","CHECK")</f>
        <v/>
      </c>
      <c r="G49" s="2" t="inlineStr">
        <is>
          <t>Sensitivity</t>
        </is>
      </c>
    </row>
    <row r="50">
      <c r="A50" s="6" t="inlineStr">
        <is>
          <t>Sensitivity</t>
        </is>
      </c>
      <c r="B50" s="6" t="inlineStr">
        <is>
          <t>Low case volume as share of Finance Year 5 volume</t>
        </is>
      </c>
      <c r="C50" s="17" t="n">
        <v>0.6</v>
      </c>
      <c r="D50" s="8">
        <f>Summary!B7/Summary!D7</f>
        <v/>
      </c>
      <c r="E50" s="46" t="n">
        <v>0.005</v>
      </c>
      <c r="F50" s="6">
        <f>IF(ABS(D50-C50)&lt;=E50,"OK","CHECK")</f>
        <v/>
      </c>
      <c r="G50" s="2" t="inlineStr">
        <is>
          <t>Summary</t>
        </is>
      </c>
    </row>
    <row r="51">
      <c r="A51" s="6" t="inlineStr">
        <is>
          <t>Simulation</t>
        </is>
      </c>
      <c r="B51" s="6" t="inlineStr">
        <is>
          <t>Median Year 5 surplus</t>
        </is>
      </c>
      <c r="C51" s="15" t="n">
        <v>114000</v>
      </c>
      <c r="D51" s="10">
        <f>MonteCarlo!B17</f>
        <v/>
      </c>
      <c r="E51" s="23" t="n">
        <v>500</v>
      </c>
      <c r="F51" s="6">
        <f>IF(ABS(D51-C51)&lt;=E51,"OK","CHECK")</f>
        <v/>
      </c>
      <c r="G51" s="2" t="inlineStr">
        <is>
          <t>MonteCarlo</t>
        </is>
      </c>
    </row>
    <row r="52">
      <c r="A52" s="6" t="inlineStr">
        <is>
          <t>Simulation</t>
        </is>
      </c>
      <c r="B52" s="6" t="inlineStr">
        <is>
          <t>5th percentile</t>
        </is>
      </c>
      <c r="C52" s="15" t="n">
        <v>-56000</v>
      </c>
      <c r="D52" s="10">
        <f>MonteCarlo!B16</f>
        <v/>
      </c>
      <c r="E52" s="23" t="n">
        <v>500</v>
      </c>
      <c r="F52" s="6">
        <f>IF(ABS(D52-C52)&lt;=E52,"OK","CHECK")</f>
        <v/>
      </c>
      <c r="G52" s="2" t="inlineStr">
        <is>
          <t>MonteCarlo</t>
        </is>
      </c>
    </row>
    <row r="53">
      <c r="A53" s="6" t="inlineStr">
        <is>
          <t>Simulation</t>
        </is>
      </c>
      <c r="B53" s="6" t="inlineStr">
        <is>
          <t>95th percentile</t>
        </is>
      </c>
      <c r="C53" s="15" t="n">
        <v>290000</v>
      </c>
      <c r="D53" s="10">
        <f>MonteCarlo!B18</f>
        <v/>
      </c>
      <c r="E53" s="23" t="n">
        <v>500</v>
      </c>
      <c r="F53" s="6">
        <f>IF(ABS(D53-C53)&lt;=E53,"OK","CHECK")</f>
        <v/>
      </c>
      <c r="G53" s="2" t="inlineStr">
        <is>
          <t>MonteCarlo</t>
        </is>
      </c>
    </row>
    <row r="54">
      <c r="A54" s="6" t="inlineStr">
        <is>
          <t>Simulation</t>
        </is>
      </c>
      <c r="B54" s="6" t="inlineStr">
        <is>
          <t>Runs below the $13,100 hurdle (benchmark growth)</t>
        </is>
      </c>
      <c r="C54" s="17" t="n">
        <v>0.17</v>
      </c>
      <c r="D54" s="8">
        <f>MonteCarlo!B20</f>
        <v/>
      </c>
      <c r="E54" s="46" t="n">
        <v>0.005</v>
      </c>
      <c r="F54" s="6">
        <f>IF(ABS(D54-C54)&lt;=E54,"OK","CHECK")</f>
        <v/>
      </c>
      <c r="G54" s="2" t="inlineStr">
        <is>
          <t>MonteCarlo</t>
        </is>
      </c>
    </row>
    <row r="55">
      <c r="A55" s="6" t="inlineStr">
        <is>
          <t>Simulation</t>
        </is>
      </c>
      <c r="B55" s="6" t="inlineStr">
        <is>
          <t>Runs below the hurdle if growth can fall to zero</t>
        </is>
      </c>
      <c r="C55" s="17" t="n">
        <v>0.25</v>
      </c>
      <c r="D55" s="8">
        <f>MonteCarlo!C20</f>
        <v/>
      </c>
      <c r="E55" s="46" t="n">
        <v>0.005</v>
      </c>
      <c r="F55" s="6">
        <f>IF(ABS(D55-C55)&lt;=E55,"OK","CHECK")</f>
        <v/>
      </c>
      <c r="G55" s="2" t="inlineStr">
        <is>
          <t>MonteCarlo</t>
        </is>
      </c>
    </row>
    <row r="56">
      <c r="A56" s="6" t="inlineStr">
        <is>
          <t>Simulation</t>
        </is>
      </c>
      <c r="B56" s="6" t="inlineStr">
        <is>
          <t>Rank correlation: launch volume</t>
        </is>
      </c>
      <c r="C56" s="36" t="n">
        <v>0.7</v>
      </c>
      <c r="D56" s="7">
        <f>MonteCarlo!B26</f>
        <v/>
      </c>
      <c r="E56" s="46" t="n">
        <v>0.005</v>
      </c>
      <c r="F56" s="6">
        <f>IF(ABS(D56-C56)&lt;=E56,"OK","CHECK")</f>
        <v/>
      </c>
      <c r="G56" s="2" t="inlineStr">
        <is>
          <t>MonteCarlo</t>
        </is>
      </c>
    </row>
    <row r="57">
      <c r="A57" s="6" t="inlineStr">
        <is>
          <t>Simulation</t>
        </is>
      </c>
      <c r="B57" s="6" t="inlineStr">
        <is>
          <t>Rank correlation: price</t>
        </is>
      </c>
      <c r="C57" s="36" t="n">
        <v>0.44</v>
      </c>
      <c r="D57" s="7">
        <f>MonteCarlo!B27</f>
        <v/>
      </c>
      <c r="E57" s="46" t="n">
        <v>0.005</v>
      </c>
      <c r="F57" s="6">
        <f>IF(ABS(D57-C57)&lt;=E57,"OK","CHECK")</f>
        <v/>
      </c>
      <c r="G57" s="2" t="inlineStr">
        <is>
          <t>MonteCarlo</t>
        </is>
      </c>
    </row>
    <row r="58">
      <c r="A58" s="6" t="inlineStr">
        <is>
          <t>Simulation</t>
        </is>
      </c>
      <c r="B58" s="6" t="inlineStr">
        <is>
          <t>Finance plan percentile</t>
        </is>
      </c>
      <c r="C58" s="17" t="n">
        <v>0.8</v>
      </c>
      <c r="D58" s="8">
        <f>MonteCarlo!B23</f>
        <v/>
      </c>
      <c r="E58" s="46" t="n">
        <v>0.005</v>
      </c>
      <c r="F58" s="6">
        <f>IF(ABS(D58-C58)&lt;=E58,"OK","CHECK")</f>
        <v/>
      </c>
      <c r="G58" s="2" t="inlineStr">
        <is>
          <t>MonteCarlo</t>
        </is>
      </c>
    </row>
    <row r="59">
      <c r="A59" s="6" t="inlineStr">
        <is>
          <t>Simulation</t>
        </is>
      </c>
      <c r="B59" s="6" t="inlineStr">
        <is>
          <t>Runs with negative year-end cash</t>
        </is>
      </c>
      <c r="C59" s="17" t="n">
        <v>0.28</v>
      </c>
      <c r="D59" s="8">
        <f>Recommendations!L5</f>
        <v/>
      </c>
      <c r="E59" s="46" t="n">
        <v>0.005</v>
      </c>
      <c r="F59" s="6">
        <f>IF(ABS(D59-C59)&lt;=E59,"OK","CHECK")</f>
        <v/>
      </c>
      <c r="G59" s="2" t="inlineStr">
        <is>
          <t>Recommendations</t>
        </is>
      </c>
    </row>
    <row r="60">
      <c r="A60" s="6" t="inlineStr">
        <is>
          <t>Simulation</t>
        </is>
      </c>
      <c r="B60" s="6" t="inlineStr">
        <is>
          <t>Runs below $30,000 (limit 1)</t>
        </is>
      </c>
      <c r="C60" s="17" t="n">
        <v>0.21</v>
      </c>
      <c r="D60" s="8">
        <f>MonteCarlo!B21</f>
        <v/>
      </c>
      <c r="E60" s="46" t="n">
        <v>0.005</v>
      </c>
      <c r="F60" s="6">
        <f>IF(ABS(D60-C60)&lt;=E60,"OK","CHECK")</f>
        <v/>
      </c>
      <c r="G60" s="2" t="inlineStr">
        <is>
          <t>MonteCarlo</t>
        </is>
      </c>
    </row>
    <row r="61">
      <c r="A61" s="6" t="inlineStr">
        <is>
          <t>Data</t>
        </is>
      </c>
      <c r="B61" s="6" t="inlineStr">
        <is>
          <t>Finance total cost as share of revenue, Year 5</t>
        </is>
      </c>
      <c r="C61" s="17" t="n">
        <v>0.89</v>
      </c>
      <c r="D61" s="8">
        <f>Summary!D11</f>
        <v/>
      </c>
      <c r="E61" s="46" t="n">
        <v>0.005</v>
      </c>
      <c r="F61" s="6">
        <f>IF(ABS(D61-C61)&lt;=E61,"OK","CHECK")</f>
        <v/>
      </c>
      <c r="G61" s="2" t="inlineStr">
        <is>
          <t>Summary; (Drake, 2026b)</t>
        </is>
      </c>
    </row>
    <row r="62">
      <c r="A62" s="6" t="inlineStr">
        <is>
          <t>Data</t>
        </is>
      </c>
      <c r="B62" s="6" t="inlineStr">
        <is>
          <t>Stress test (mild): Year 5 surplus</t>
        </is>
      </c>
      <c r="C62" s="15" t="n">
        <v>52000</v>
      </c>
      <c r="D62" s="10">
        <f>ModelRisk!E23</f>
        <v/>
      </c>
      <c r="E62" s="23" t="n">
        <v>500</v>
      </c>
      <c r="F62" s="6">
        <f>IF(ABS(D62-C62)&lt;=E62,"OK","CHECK")</f>
        <v/>
      </c>
      <c r="G62" s="2" t="inlineStr">
        <is>
          <t>ModelRisk</t>
        </is>
      </c>
    </row>
    <row r="63">
      <c r="A63" s="6" t="inlineStr">
        <is>
          <t>Data</t>
        </is>
      </c>
      <c r="B63" s="6" t="inlineStr">
        <is>
          <t>Stress test (heavier): Year 5 result</t>
        </is>
      </c>
      <c r="C63" s="15" t="n">
        <v>-71000</v>
      </c>
      <c r="D63" s="10">
        <f>ModelRisk!E24</f>
        <v/>
      </c>
      <c r="E63" s="23" t="n">
        <v>500</v>
      </c>
      <c r="F63" s="6">
        <f>IF(ABS(D63-C63)&lt;=E63,"OK","CHECK")</f>
        <v/>
      </c>
      <c r="G63" s="2" t="inlineStr">
        <is>
          <t>ModelRisk</t>
        </is>
      </c>
    </row>
    <row r="64">
      <c r="A64" s="6" t="inlineStr">
        <is>
          <t>Limitations</t>
        </is>
      </c>
      <c r="B64" s="6" t="inlineStr">
        <is>
          <t>Hurdle on the $1 million endowment</t>
        </is>
      </c>
      <c r="C64" s="15" t="n">
        <v>30000</v>
      </c>
      <c r="D64" s="10">
        <f>Summary!D14</f>
        <v/>
      </c>
      <c r="E64" s="23" t="n">
        <v>1</v>
      </c>
      <c r="F64" s="6">
        <f>IF(ABS(D64-C64)&lt;=E64,"OK","CHECK")</f>
        <v/>
      </c>
      <c r="G64" s="2" t="inlineStr">
        <is>
          <t>Summary</t>
        </is>
      </c>
    </row>
    <row r="65">
      <c r="A65" s="6" t="inlineStr">
        <is>
          <t>Limitations</t>
        </is>
      </c>
      <c r="B65" s="6" t="inlineStr">
        <is>
          <t>Finance ARR on $1 million</t>
        </is>
      </c>
      <c r="C65" s="37" t="n">
        <v>0.204</v>
      </c>
      <c r="D65" s="47">
        <f>Summary!D16</f>
        <v/>
      </c>
      <c r="E65" s="46" t="n">
        <v>0.0005</v>
      </c>
      <c r="F65" s="6">
        <f>IF(ABS(D65-C65)&lt;=E65,"OK","CHECK")</f>
        <v/>
      </c>
      <c r="G65" s="2" t="inlineStr">
        <is>
          <t>Summary</t>
        </is>
      </c>
    </row>
    <row r="66">
      <c r="A66" s="6" t="inlineStr">
        <is>
          <t>Limitations</t>
        </is>
      </c>
      <c r="B66" s="6" t="inlineStr">
        <is>
          <t>Finance payback (years, at the Year 5 cash flow)</t>
        </is>
      </c>
      <c r="C66" s="48" t="n">
        <v>8.199999999999999</v>
      </c>
      <c r="D66" s="48" t="n">
        <v>8.239000000000001</v>
      </c>
      <c r="E66" s="46" t="n">
        <v>0.05</v>
      </c>
      <c r="F66" s="6">
        <f>IF(ABS(D66-C66)&lt;=E66,"OK","CHECK")</f>
        <v/>
      </c>
      <c r="G66" s="2" t="inlineStr">
        <is>
          <t>(Drake, 2026b) Calculations!C116</t>
        </is>
      </c>
    </row>
    <row r="67">
      <c r="A67" s="6" t="inlineStr">
        <is>
          <t>Position</t>
        </is>
      </c>
      <c r="B67" s="6" t="inlineStr">
        <is>
          <t>Share of runs clearing the hurdle: benchmark growth</t>
        </is>
      </c>
      <c r="C67" s="17" t="n">
        <v>0.83</v>
      </c>
      <c r="D67" s="8">
        <f>1-MonteCarlo!B20</f>
        <v/>
      </c>
      <c r="E67" s="46" t="n">
        <v>0.005</v>
      </c>
      <c r="F67" s="6">
        <f>IF(ABS(D67-C67)&lt;=E67,"OK","CHECK")</f>
        <v/>
      </c>
      <c r="G67" s="2" t="inlineStr">
        <is>
          <t>MonteCarlo</t>
        </is>
      </c>
    </row>
    <row r="68">
      <c r="A68" s="6" t="inlineStr">
        <is>
          <t>Position</t>
        </is>
      </c>
      <c r="B68" s="6" t="inlineStr">
        <is>
          <t>Share of runs clearing the hurdle: zero-growth floor</t>
        </is>
      </c>
      <c r="C68" s="17" t="n">
        <v>0.75</v>
      </c>
      <c r="D68" s="8">
        <f>1-MonteCarlo!C20</f>
        <v/>
      </c>
      <c r="E68" s="46" t="n">
        <v>0.005</v>
      </c>
      <c r="F68" s="6">
        <f>IF(ABS(D68-C68)&lt;=E68,"OK","CHECK")</f>
        <v/>
      </c>
      <c r="G68" s="2" t="inlineStr">
        <is>
          <t>MonteCarlo</t>
        </is>
      </c>
    </row>
    <row r="69">
      <c r="A69" s="6" t="inlineStr">
        <is>
          <t>Recommend 1</t>
        </is>
      </c>
      <c r="B69" s="6" t="inlineStr">
        <is>
          <t>Contingency released only at break-even</t>
        </is>
      </c>
      <c r="C69" s="15" t="n">
        <v>92600</v>
      </c>
      <c r="D69" s="15" t="n">
        <v>92575.436</v>
      </c>
      <c r="E69" s="23" t="n">
        <v>50</v>
      </c>
      <c r="F69" s="6">
        <f>IF(ABS(D69-C69)&lt;=E69,"OK","CHECK")</f>
        <v/>
      </c>
      <c r="G69" s="2" t="inlineStr">
        <is>
          <t>(Drake, 2026b) Inputs!B9</t>
        </is>
      </c>
    </row>
    <row r="70">
      <c r="A70" s="6" t="inlineStr">
        <is>
          <t>Recommend 1</t>
        </is>
      </c>
      <c r="B70" s="6" t="inlineStr">
        <is>
          <t>Year 2 break-even trigger (student-days)</t>
        </is>
      </c>
      <c r="C70" s="19" t="n">
        <v>9700</v>
      </c>
      <c r="D70" s="19" t="n">
        <v>9687</v>
      </c>
      <c r="E70" s="23" t="n">
        <v>20</v>
      </c>
      <c r="F70" s="6">
        <f>IF(ABS(D70-C70)&lt;=E70,"OK","CHECK")</f>
        <v/>
      </c>
      <c r="G70" s="2" t="inlineStr">
        <is>
          <t>(Drake, 2026a) Break-Even!D44</t>
        </is>
      </c>
    </row>
    <row r="71">
      <c r="A71" s="6" t="inlineStr">
        <is>
          <t>Recommend 2</t>
        </is>
      </c>
      <c r="B71" s="6" t="inlineStr">
        <is>
          <t>75% share adds conservation spending</t>
        </is>
      </c>
      <c r="C71" s="15" t="n">
        <v>86000</v>
      </c>
      <c r="D71" s="10">
        <f>Recommendations!I6-Recommendations!I5</f>
        <v/>
      </c>
      <c r="E71" s="23" t="n">
        <v>500</v>
      </c>
      <c r="F71" s="6">
        <f>IF(ABS(D71-C71)&lt;=E71,"OK","CHECK")</f>
        <v/>
      </c>
      <c r="G71" s="2" t="inlineStr">
        <is>
          <t>Recommendations</t>
        </is>
      </c>
    </row>
    <row r="72">
      <c r="A72" s="6" t="inlineStr">
        <is>
          <t>Recommend 2</t>
        </is>
      </c>
      <c r="B72" s="6" t="inlineStr">
        <is>
          <t>75% share costs Year 5 surplus</t>
        </is>
      </c>
      <c r="C72" s="15" t="n">
        <v>3500</v>
      </c>
      <c r="D72" s="10">
        <f>Recommendations!F5-Recommendations!F6</f>
        <v/>
      </c>
      <c r="E72" s="23" t="n">
        <v>100</v>
      </c>
      <c r="F72" s="6">
        <f>IF(ABS(D72-C72)&lt;=E72,"OK","CHECK")</f>
        <v/>
      </c>
      <c r="G72" s="2" t="inlineStr">
        <is>
          <t>Recommendations</t>
        </is>
      </c>
    </row>
    <row r="73">
      <c r="A73" s="6" t="inlineStr">
        <is>
          <t>Recommend 2</t>
        </is>
      </c>
      <c r="B73" s="6" t="inlineStr">
        <is>
          <t>Doubled maintenance costs Year 5 surplus</t>
        </is>
      </c>
      <c r="C73" s="15" t="n">
        <v>19000</v>
      </c>
      <c r="D73" s="10">
        <f>Recommendations!F5-Recommendations!F7</f>
        <v/>
      </c>
      <c r="E73" s="23" t="n">
        <v>500</v>
      </c>
      <c r="F73" s="6">
        <f>IF(ABS(D73-C73)&lt;=E73,"OK","CHECK")</f>
        <v/>
      </c>
      <c r="G73" s="2" t="inlineStr">
        <is>
          <t>Recommendations</t>
        </is>
      </c>
    </row>
    <row r="74">
      <c r="A74" s="6" t="inlineStr">
        <is>
          <t>Recommend 2</t>
        </is>
      </c>
      <c r="B74" s="6" t="inlineStr">
        <is>
          <t>Doubled maintenance adds conservation spending</t>
        </is>
      </c>
      <c r="C74" s="15" t="n">
        <v>80000</v>
      </c>
      <c r="D74" s="10">
        <f>Recommendations!I7-Recommendations!I5</f>
        <v/>
      </c>
      <c r="E74" s="23" t="n">
        <v>500</v>
      </c>
      <c r="F74" s="6">
        <f>IF(ABS(D74-C74)&lt;=E74,"OK","CHECK")</f>
        <v/>
      </c>
      <c r="G74" s="2" t="inlineStr">
        <is>
          <t>Recommendations</t>
        </is>
      </c>
    </row>
    <row r="75">
      <c r="A75" s="6" t="inlineStr">
        <is>
          <t>Recommend 2</t>
        </is>
      </c>
      <c r="B75" s="6" t="inlineStr">
        <is>
          <t>Doubled maintenance deepens lowest cash by</t>
        </is>
      </c>
      <c r="C75" s="15" t="n">
        <v>60000</v>
      </c>
      <c r="D75" s="10">
        <f>Recommendations!H5-Recommendations!H7</f>
        <v/>
      </c>
      <c r="E75" s="23" t="n">
        <v>500</v>
      </c>
      <c r="F75" s="6">
        <f>IF(ABS(D75-C75)&lt;=E75,"OK","CHECK")</f>
        <v/>
      </c>
      <c r="G75" s="2" t="inlineStr">
        <is>
          <t>Recommendations</t>
        </is>
      </c>
    </row>
    <row r="76">
      <c r="A76" s="6" t="inlineStr">
        <is>
          <t>Recommend 2</t>
        </is>
      </c>
      <c r="B76" s="6" t="inlineStr">
        <is>
          <t>Doubled maintenance: runs below the hurdle</t>
        </is>
      </c>
      <c r="C76" s="17" t="n">
        <v>0.25</v>
      </c>
      <c r="D76" s="8">
        <f>Recommendations!K7</f>
        <v/>
      </c>
      <c r="E76" s="46" t="n">
        <v>0.005</v>
      </c>
      <c r="F76" s="6">
        <f>IF(ABS(D76-C76)&lt;=E76,"OK","CHECK")</f>
        <v/>
      </c>
      <c r="G76" s="2" t="inlineStr">
        <is>
          <t>Recommendations</t>
        </is>
      </c>
    </row>
    <row r="77">
      <c r="A77" s="6" t="inlineStr">
        <is>
          <t>Recommend 2</t>
        </is>
      </c>
      <c r="B77" s="6" t="inlineStr">
        <is>
          <t>Tripled maintenance: runs below the hurdle</t>
        </is>
      </c>
      <c r="C77" s="17" t="n">
        <v>0.35</v>
      </c>
      <c r="D77" s="8">
        <f>Recommendations!K8</f>
        <v/>
      </c>
      <c r="E77" s="46" t="n">
        <v>0.005</v>
      </c>
      <c r="F77" s="6">
        <f>IF(ABS(D77-C77)&lt;=E77,"OK","CHECK")</f>
        <v/>
      </c>
      <c r="G77" s="2" t="inlineStr">
        <is>
          <t>Recommendations</t>
        </is>
      </c>
    </row>
    <row r="78">
      <c r="A78" s="6" t="inlineStr">
        <is>
          <t>Recommend 3</t>
        </is>
      </c>
      <c r="B78" s="6" t="inlineStr">
        <is>
          <t>10% access costs Year 5 surplus</t>
        </is>
      </c>
      <c r="C78" s="15" t="n">
        <v>34000</v>
      </c>
      <c r="D78" s="10">
        <f>Recommendations!F5-Recommendations!F9</f>
        <v/>
      </c>
      <c r="E78" s="23" t="n">
        <v>500</v>
      </c>
      <c r="F78" s="6">
        <f>IF(ABS(D78-C78)&lt;=E78,"OK","CHECK")</f>
        <v/>
      </c>
      <c r="G78" s="2" t="inlineStr">
        <is>
          <t>Recommendations</t>
        </is>
      </c>
    </row>
    <row r="79">
      <c r="A79" s="6" t="inlineStr">
        <is>
          <t>Recommend 3</t>
        </is>
      </c>
      <c r="B79" s="6" t="inlineStr">
        <is>
          <t>10% access costs lowest cash</t>
        </is>
      </c>
      <c r="C79" s="15" t="n">
        <v>55000</v>
      </c>
      <c r="D79" s="10">
        <f>Recommendations!H5-Recommendations!H9</f>
        <v/>
      </c>
      <c r="E79" s="23" t="n">
        <v>500</v>
      </c>
      <c r="F79" s="6">
        <f>IF(ABS(D79-C79)&lt;=E79,"OK","CHECK")</f>
        <v/>
      </c>
      <c r="G79" s="2" t="inlineStr">
        <is>
          <t>Recommendations</t>
        </is>
      </c>
    </row>
    <row r="80">
      <c r="A80" s="6" t="inlineStr">
        <is>
          <t>Recommend 3</t>
        </is>
      </c>
      <c r="B80" s="6" t="inlineStr">
        <is>
          <t>Student-days at a 10% share</t>
        </is>
      </c>
      <c r="C80" s="19" t="n">
        <v>1300</v>
      </c>
      <c r="D80" s="9">
        <f>Recommendations!F19</f>
        <v/>
      </c>
      <c r="E80" s="23" t="n">
        <v>20</v>
      </c>
      <c r="F80" s="6">
        <f>IF(ABS(D80-C80)&lt;=E80,"OK","CHECK")</f>
        <v/>
      </c>
      <c r="G80" s="2" t="inlineStr">
        <is>
          <t>Recommendations</t>
        </is>
      </c>
    </row>
    <row r="81">
      <c r="A81" s="6" t="inlineStr">
        <is>
          <t>Recommend 3</t>
        </is>
      </c>
      <c r="B81" s="6" t="inlineStr">
        <is>
          <t>From the start, 10% share: runs below the hurdle</t>
        </is>
      </c>
      <c r="C81" s="17" t="n">
        <v>0.25</v>
      </c>
      <c r="D81" s="8">
        <f>Recommendations!K10</f>
        <v/>
      </c>
      <c r="E81" s="46" t="n">
        <v>0.005</v>
      </c>
      <c r="F81" s="6">
        <f>IF(ABS(D81-C81)&lt;=E81,"OK","CHECK")</f>
        <v/>
      </c>
      <c r="G81" s="2" t="inlineStr">
        <is>
          <t>Recommendations</t>
        </is>
      </c>
    </row>
    <row r="82">
      <c r="A82" s="6" t="inlineStr">
        <is>
          <t>Recommend 3</t>
        </is>
      </c>
      <c r="B82" s="6" t="inlineStr">
        <is>
          <t>From the start, 20% share: runs below the hurdle</t>
        </is>
      </c>
      <c r="C82" s="17" t="n">
        <v>0.35</v>
      </c>
      <c r="D82" s="8">
        <f>Recommendations!K11</f>
        <v/>
      </c>
      <c r="E82" s="46" t="n">
        <v>0.005</v>
      </c>
      <c r="F82" s="6">
        <f>IF(ABS(D82-C82)&lt;=E82,"OK","CHECK")</f>
        <v/>
      </c>
      <c r="G82" s="2" t="inlineStr">
        <is>
          <t>Recommendations</t>
        </is>
      </c>
    </row>
    <row r="83">
      <c r="A83" s="6" t="inlineStr">
        <is>
          <t>Recommend 3</t>
        </is>
      </c>
      <c r="B83" s="6" t="inlineStr">
        <is>
          <t>Trigger met in share of simulated futures</t>
        </is>
      </c>
      <c r="C83" s="17" t="n">
        <v>0.45</v>
      </c>
      <c r="D83" s="8">
        <f>Recommendations!F17</f>
        <v/>
      </c>
      <c r="E83" s="46" t="n">
        <v>0.01</v>
      </c>
      <c r="F83" s="6">
        <f>IF(ABS(D83-C83)&lt;=E83,"OK","CHECK")</f>
        <v/>
      </c>
      <c r="G83" s="2" t="inlineStr">
        <is>
          <t>Recommendations</t>
        </is>
      </c>
    </row>
    <row r="84">
      <c r="A84" s="6" t="inlineStr">
        <is>
          <t>Recommend 3</t>
        </is>
      </c>
      <c r="B84" s="6" t="inlineStr">
        <is>
          <t>Conditional 10% share: runs below the hurdle</t>
        </is>
      </c>
      <c r="C84" s="17" t="n">
        <v>0.18</v>
      </c>
      <c r="D84" s="8">
        <f>Recommendations!K12</f>
        <v/>
      </c>
      <c r="E84" s="46" t="n">
        <v>0.005</v>
      </c>
      <c r="F84" s="6">
        <f>IF(ABS(D84-C84)&lt;=E84,"OK","CHECK")</f>
        <v/>
      </c>
      <c r="G84" s="2" t="inlineStr">
        <is>
          <t>Recommendations</t>
        </is>
      </c>
    </row>
    <row r="85">
      <c r="A85" s="6" t="inlineStr">
        <is>
          <t>Recommend 3</t>
        </is>
      </c>
      <c r="B85" s="6" t="inlineStr">
        <is>
          <t>Conditional 20% share: runs below the hurdle</t>
        </is>
      </c>
      <c r="C85" s="17" t="n">
        <v>0.21</v>
      </c>
      <c r="D85" s="8">
        <f>Recommendations!K13</f>
        <v/>
      </c>
      <c r="E85" s="46" t="n">
        <v>0.005</v>
      </c>
      <c r="F85" s="6">
        <f>IF(ABS(D85-C85)&lt;=E85,"OK","CHECK")</f>
        <v/>
      </c>
      <c r="G85" s="2" t="inlineStr">
        <is>
          <t>Recommendations</t>
        </is>
      </c>
    </row>
    <row r="86">
      <c r="A86" s="6" t="inlineStr">
        <is>
          <t>Recommend 3</t>
        </is>
      </c>
      <c r="B86" s="6" t="inlineStr">
        <is>
          <t>Conditional 30% share: runs below the hurdle</t>
        </is>
      </c>
      <c r="C86" s="17" t="n">
        <v>0.25</v>
      </c>
      <c r="D86" s="8">
        <f>Recommendations!K14</f>
        <v/>
      </c>
      <c r="E86" s="46" t="n">
        <v>0.005</v>
      </c>
      <c r="F86" s="6">
        <f>IF(ABS(D86-C86)&lt;=E86,"OK","CHECK")</f>
        <v/>
      </c>
      <c r="G86" s="2" t="inlineStr">
        <is>
          <t>Recommendations</t>
        </is>
      </c>
    </row>
    <row r="87">
      <c r="A87" s="6" t="inlineStr">
        <is>
          <t>Recommend 3</t>
        </is>
      </c>
      <c r="B87" s="6" t="inlineStr">
        <is>
          <t>20% share, from the start: Year 5 surplus</t>
        </is>
      </c>
      <c r="C87" s="15" t="n">
        <v>134000</v>
      </c>
      <c r="D87" s="10">
        <f>Recommendations!F11</f>
        <v/>
      </c>
      <c r="E87" s="23" t="n">
        <v>500</v>
      </c>
      <c r="F87" s="6">
        <f>IF(ABS(D87-C87)&lt;=E87,"OK","CHECK")</f>
        <v/>
      </c>
      <c r="G87" s="2" t="inlineStr">
        <is>
          <t>Recommendations</t>
        </is>
      </c>
    </row>
    <row r="88">
      <c r="A88" s="6" t="inlineStr">
        <is>
          <t>Recommend 3</t>
        </is>
      </c>
      <c r="B88" s="6" t="inlineStr">
        <is>
          <t>20% share, from the start: lowest cash</t>
        </is>
      </c>
      <c r="C88" s="15" t="n">
        <v>80000</v>
      </c>
      <c r="D88" s="10">
        <f>Recommendations!H11</f>
        <v/>
      </c>
      <c r="E88" s="23" t="n">
        <v>500</v>
      </c>
      <c r="F88" s="6">
        <f>IF(ABS(D88-C88)&lt;=E88,"OK","CHECK")</f>
        <v/>
      </c>
      <c r="G88" s="2" t="inlineStr">
        <is>
          <t>Recommendations</t>
        </is>
      </c>
    </row>
    <row r="89">
      <c r="A89" s="6" t="inlineStr">
        <is>
          <t>Recommend 3</t>
        </is>
      </c>
      <c r="B89" s="6" t="inlineStr">
        <is>
          <t>20% share, from the start: five-year conservation</t>
        </is>
      </c>
      <c r="C89" s="15" t="n">
        <v>418000</v>
      </c>
      <c r="D89" s="10">
        <f>Recommendations!I11</f>
        <v/>
      </c>
      <c r="E89" s="23" t="n">
        <v>500</v>
      </c>
      <c r="F89" s="6">
        <f>IF(ABS(D89-C89)&lt;=E89,"OK","CHECK")</f>
        <v/>
      </c>
      <c r="G89" s="2" t="inlineStr">
        <is>
          <t>Recommendations</t>
        </is>
      </c>
    </row>
    <row r="90">
      <c r="A90" s="6" t="inlineStr">
        <is>
          <t>Recommend 3</t>
        </is>
      </c>
      <c r="B90" s="6" t="inlineStr">
        <is>
          <t>Finance plan five-year conservation</t>
        </is>
      </c>
      <c r="C90" s="15" t="n">
        <v>431000</v>
      </c>
      <c r="D90" s="10">
        <f>Recommendations!I5</f>
        <v/>
      </c>
      <c r="E90" s="23" t="n">
        <v>500</v>
      </c>
      <c r="F90" s="6">
        <f>IF(ABS(D90-C90)&lt;=E90,"OK","CHECK")</f>
        <v/>
      </c>
      <c r="G90" s="2" t="inlineStr">
        <is>
          <t>Recommendations</t>
        </is>
      </c>
    </row>
    <row r="91">
      <c r="A91" s="6" t="inlineStr">
        <is>
          <t>Package</t>
        </is>
      </c>
      <c r="B91" s="6" t="inlineStr">
        <is>
          <t>Year 5 surplus with the package</t>
        </is>
      </c>
      <c r="C91" s="15" t="n">
        <v>167000</v>
      </c>
      <c r="D91" s="10">
        <f>Recommendations!F12</f>
        <v/>
      </c>
      <c r="E91" s="23" t="n">
        <v>500</v>
      </c>
      <c r="F91" s="6">
        <f>IF(ABS(D91-C91)&lt;=E91,"OK","CHECK")</f>
        <v/>
      </c>
      <c r="G91" s="2" t="inlineStr">
        <is>
          <t>Recommendations</t>
        </is>
      </c>
    </row>
    <row r="92">
      <c r="A92" s="6" t="inlineStr">
        <is>
          <t>Package</t>
        </is>
      </c>
      <c r="B92" s="6" t="inlineStr">
        <is>
          <t>ARR with the package</t>
        </is>
      </c>
      <c r="C92" s="17" t="n">
        <v>0.37</v>
      </c>
      <c r="D92" s="8">
        <f>Recommendations!G12</f>
        <v/>
      </c>
      <c r="E92" s="46" t="n">
        <v>0.005</v>
      </c>
      <c r="F92" s="6">
        <f>IF(ABS(D92-C92)&lt;=E92,"OK","CHECK")</f>
        <v/>
      </c>
      <c r="G92" s="2" t="inlineStr">
        <is>
          <t>Recommendations</t>
        </is>
      </c>
    </row>
    <row r="93">
      <c r="A93" s="6" t="inlineStr">
        <is>
          <t>Package</t>
        </is>
      </c>
      <c r="B93" s="6" t="inlineStr">
        <is>
          <t>Five-year conservation with the package</t>
        </is>
      </c>
      <c r="C93" s="15" t="n">
        <v>468000</v>
      </c>
      <c r="D93" s="10">
        <f>Recommendations!I12</f>
        <v/>
      </c>
      <c r="E93" s="23" t="n">
        <v>500</v>
      </c>
      <c r="F93" s="6">
        <f>IF(ABS(D93-C93)&lt;=E93,"OK","CHECK")</f>
        <v/>
      </c>
      <c r="G93" s="2" t="inlineStr">
        <is>
          <t>Recommendations</t>
        </is>
      </c>
    </row>
    <row r="94">
      <c r="A94" s="6" t="inlineStr">
        <is>
          <t>Package</t>
        </is>
      </c>
      <c r="B94" s="6" t="inlineStr">
        <is>
          <t>Median simulated surplus with the package</t>
        </is>
      </c>
      <c r="C94" s="15" t="n">
        <v>99000</v>
      </c>
      <c r="D94" s="10">
        <f>Recommendations!J12</f>
        <v/>
      </c>
      <c r="E94" s="23" t="n">
        <v>500</v>
      </c>
      <c r="F94" s="6">
        <f>IF(ABS(D94-C94)&lt;=E94,"OK","CHECK")</f>
        <v/>
      </c>
      <c r="G94" s="2" t="inlineStr">
        <is>
          <t>Recommendations</t>
        </is>
      </c>
    </row>
    <row r="95">
      <c r="A95" s="6" t="inlineStr">
        <is>
          <t>Package</t>
        </is>
      </c>
      <c r="B95" s="6" t="inlineStr">
        <is>
          <t>Runs below the hurdle with the package</t>
        </is>
      </c>
      <c r="C95" s="17" t="n">
        <v>0.18</v>
      </c>
      <c r="D95" s="8">
        <f>Recommendations!K12</f>
        <v/>
      </c>
      <c r="E95" s="46" t="n">
        <v>0.005</v>
      </c>
      <c r="F95" s="6">
        <f>IF(ABS(D95-C95)&lt;=E95,"OK","CHECK")</f>
        <v/>
      </c>
      <c r="G95" s="2" t="inlineStr">
        <is>
          <t>Recommendations</t>
        </is>
      </c>
    </row>
    <row r="96">
      <c r="A96" s="6" t="inlineStr">
        <is>
          <t>Package</t>
        </is>
      </c>
      <c r="B96" s="6" t="inlineStr">
        <is>
          <t>Runs below the hurdle with maintenance doubled</t>
        </is>
      </c>
      <c r="C96" s="17" t="n">
        <v>0.28</v>
      </c>
      <c r="D96" s="8">
        <f>Recommendations!K15</f>
        <v/>
      </c>
      <c r="E96" s="46" t="n">
        <v>0.005</v>
      </c>
      <c r="F96" s="6">
        <f>IF(ABS(D96-C96)&lt;=E96,"OK","CHECK")</f>
        <v/>
      </c>
      <c r="G96" s="2" t="inlineStr">
        <is>
          <t>Recommendations</t>
        </is>
      </c>
    </row>
    <row r="98">
      <c r="A98" s="11" t="inlineStr">
        <is>
          <t>Rows needing a check</t>
        </is>
      </c>
      <c r="D98" s="34">
        <f>COUNTIF(F5:F96,"CHECK")</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60" customWidth="1" min="1" max="1"/>
  </cols>
  <sheetData>
    <row r="1">
      <c r="A1" s="1" t="inlineStr">
        <is>
          <t>References</t>
        </is>
      </c>
    </row>
    <row r="3">
      <c r="A3" s="4" t="inlineStr">
        <is>
          <t>Crusader Union (2025) Annual report 2024–25.</t>
        </is>
      </c>
    </row>
    <row r="4">
      <c r="A4" s="4" t="inlineStr">
        <is>
          <t>Drake, J. (2026a) Hillview cost structure and break-even (FINAL) [Excel workbook]. MQBS3010 Group 1I, Macquarie University. Unpublished.</t>
        </is>
      </c>
    </row>
    <row r="5">
      <c r="A5" s="4" t="inlineStr">
        <is>
          <t>Drake, J. (2026b) Hillview performance and returns (FINAL) [Excel workbook]. MQBS3010 Group 1I, Macquarie University. Unpublished.</t>
        </is>
      </c>
    </row>
    <row r="6">
      <c r="A6" s="4" t="inlineStr">
        <is>
          <t>Drake, J. (2026c) Hillview capital allocation (FINAL) [Excel workbook]. MQBS3010 Group 1I, Macquarie University. Unpublished.</t>
        </is>
      </c>
    </row>
    <row r="7">
      <c r="A7" s="4" t="inlineStr">
        <is>
          <t>Flyvbjerg, B. (2009) 'Survival of the unfittest: why the worst infrastructure gets built and what we can do about it', Oxford Review of Economic Policy, 25(3), pp. 344–367.</t>
        </is>
      </c>
    </row>
    <row r="8">
      <c r="A8" s="4" t="inlineStr">
        <is>
          <t>NSW Sport and Recreation (2026) Camp price list: school programs. Available at: https://sport.nsw.gov.au/sites/default/files/2025-03/Website_Camp_Pricelist_Centres_2026.pdf</t>
        </is>
      </c>
    </row>
    <row r="9">
      <c r="A9" s="4" t="inlineStr">
        <is>
          <t>Quang, N. (2026) Hillview comparable charity benchmarking [Excel workbook]. MQBS3010 Group 1I, Macquarie University. Unpublished.</t>
        </is>
      </c>
    </row>
    <row r="10">
      <c r="A10" s="4" t="inlineStr">
        <is>
          <t>Quang, N. (2026) Hillview Harmony: Business Analytics scenario model [Excel workbook]. MQBS3010 Group 1I, Macquarie University. Unpublished.</t>
        </is>
      </c>
    </row>
    <row r="11">
      <c r="A11" s="4" t="inlineStr">
        <is>
          <t>Quang, N. (2026) Hillview Harmony: Business Analytics model [Python code]. MQBS3010 Group 1I, Macquarie University. Unpublished.</t>
        </is>
      </c>
    </row>
    <row r="12">
      <c r="A12" s="4" t="inlineStr">
        <is>
          <t>Saltelli, A., Ratto, M., Andres, T., Campolongo, F., Cariboni, J., Gatelli, D., Saisana, M. and Tarantola, S. (2008) Global sensitivity analysis: the primer. Chichester: Wiley.</t>
        </is>
      </c>
    </row>
    <row r="13">
      <c r="A13" s="4" t="inlineStr">
        <is>
          <t>Savage, S.L. (2012) The flaw of averages: why we underestimate risk in the face of uncertainty. Hoboken: Wiley.</t>
        </is>
      </c>
    </row>
    <row r="14">
      <c r="A14" s="4" t="inlineStr">
        <is>
          <t>Stewart House (2025) Financial statements for the year ended 31 December 2024.</t>
        </is>
      </c>
    </row>
    <row r="15">
      <c r="A15" s="4" t="inlineStr">
        <is>
          <t>United Nations (2015) Transforming our world: the 2030 Agenda for Sustainable Development. A/RES/70/1. New York: United Nations.</t>
        </is>
      </c>
    </row>
    <row r="16">
      <c r="A16" s="4" t="inlineStr">
        <is>
          <t>YMCA Camping Ltd (2024) Financial statements for the year ended 30 June 2024.</t>
        </is>
      </c>
    </row>
    <row r="17">
      <c r="A17" s="4" t="inlineStr">
        <is>
          <t>YMCA Camping Ltd (2025) Financial statements for the year ended 30 June 2025.</t>
        </is>
      </c>
    </row>
    <row r="19">
      <c r="A19" s="2" t="inlineStr">
        <is>
          <t>Titles of books, reports and journals are italic in the chapter; plain text is used here. The three Drake entries are lettered by workbook so that (Drake, 2026a) and (Drake, 2026b) match the chapter; (Drake, 2026c) is cited only in this workbook.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2026-10-14T23:46:45Z</dcterms:created>
  <dcterms:modified xmlns:dcterms="http://purl.org/dc/terms/" xmlns:xsi="http://www.w3.org/2001/XMLSchema-instance" xsi:type="dcterms:W3CDTF">2026-10-14T23:46:45Z</dcterms:modified>
</cp:coreProperties>
</file>